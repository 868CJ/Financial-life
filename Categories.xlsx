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curtis/Downloads/My Financials 3/"/>
    </mc:Choice>
  </mc:AlternateContent>
  <xr:revisionPtr revIDLastSave="0" documentId="13_ncr:1_{F77451CD-21EF-584D-BC48-12F04EE0922B}" xr6:coauthVersionLast="47" xr6:coauthVersionMax="47" xr10:uidLastSave="{00000000-0000-0000-0000-000000000000}"/>
  <bookViews>
    <workbookView xWindow="15120" yWindow="660" windowWidth="15420" windowHeight="18980" xr2:uid="{01B318FC-B5EF-3D49-A763-8892F2116B31}"/>
  </bookViews>
  <sheets>
    <sheet name="Sheet1" sheetId="1" r:id="rId1"/>
  </sheets>
  <definedNames>
    <definedName name="Slicer_Months__Date">#N/A</definedName>
    <definedName name="Slicer_Years__Date">#N/A</definedName>
  </definedNames>
  <calcPr calcId="191029"/>
  <pivotCaches>
    <pivotCache cacheId="65"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<sst xmlns="http://schemas.openxmlformats.org/spreadsheetml/2006/main" count="90" uniqueCount="35">
  <si>
    <t>Category</t>
  </si>
  <si>
    <t>Subcategory</t>
  </si>
  <si>
    <t>Category Type</t>
  </si>
  <si>
    <t>Variable</t>
  </si>
  <si>
    <t>Dividends</t>
  </si>
  <si>
    <t>Income</t>
  </si>
  <si>
    <t>Gigs</t>
  </si>
  <si>
    <t>Interest</t>
  </si>
  <si>
    <t>Music Classes</t>
  </si>
  <si>
    <t>Other Income</t>
  </si>
  <si>
    <t>Physics Classes</t>
  </si>
  <si>
    <t>Fixed</t>
  </si>
  <si>
    <t>Salary</t>
  </si>
  <si>
    <t>Bills &amp; Utilities</t>
  </si>
  <si>
    <t>Expense</t>
  </si>
  <si>
    <t>Car Expense</t>
  </si>
  <si>
    <t>Dining</t>
  </si>
  <si>
    <t>Entertainment</t>
  </si>
  <si>
    <t>Gas</t>
  </si>
  <si>
    <t>Gifts/Donations</t>
  </si>
  <si>
    <t>Groceries</t>
  </si>
  <si>
    <t>Health &amp; Wellbeing</t>
  </si>
  <si>
    <t>Shopping</t>
  </si>
  <si>
    <t>Subscriptions</t>
  </si>
  <si>
    <t>Transportation</t>
  </si>
  <si>
    <t>Travel</t>
  </si>
  <si>
    <t>Business Expenses</t>
  </si>
  <si>
    <t>Lawyer</t>
  </si>
  <si>
    <t>Music/Gig Expenses</t>
  </si>
  <si>
    <t>Bank/Finance Fees</t>
  </si>
  <si>
    <t>Taxes</t>
  </si>
  <si>
    <t xml:space="preserve">Other </t>
  </si>
  <si>
    <t>Uncategorized</t>
  </si>
  <si>
    <t>Sum of Income/(Expense)2</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</si>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</sst>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 x14ac:knownFonts="1">
    <font>
      <sz val="12"/>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0" xfId="0" applyAlignment="1">
      <alignment horizontal="right"/>
    </xf>
    <xf numFmtId="164" fontId="0" fillId="0" borderId="0" xfId="0" applyNumberFormat="1" applyAlignment="1">
      <alignment horizontal="right"/>
    </xf>
    <xf numFmtId="0" fontId="0" fillId="0" borderId="0" xfId="0" applyAlignment="1">
      <alignment horizontal="left"/>
    </xf>
    <xf numFmtId="4" fontId="0" fillId="0" borderId="0" xfId="0" applyNumberFormat="1"/>
    <xf numFmtId="164" fontId="0" fillId="0" borderId="0" xfId="0" applyNumberFormat="1"/>
    <xf numFmtId="0" fontId="0" fillId="0" borderId="0" xfId="0" applyAlignment="1">
      <alignment horizontal="left" indent="1"/>
    </xf>
    <xf numFmtId="0" fontId="0" fillId="0" borderId="0" xfId="0" pivotButton="1"/>
  </cellXfs>
  <cellStyles count="1">
    <cellStyle name="Normal" xfId="0" builtinId="0"/>
  </cellStyles>
  <dxfs count="7">
    <dxf>
      <numFmt numFmtId="164" formatCode=";;;"/>
    </dxf>
    <dxf>
      <numFmt numFmtId="164" formatCode=";;;"/>
    </dxf>
    <dxf>
      <alignment horizontal="right"/>
    </dxf>
    <dxf>
      <numFmt numFmtId="164" formatCode=";;;"/>
    </dxf>
    <dxf>
      <numFmt numFmtId="164" formatCode=";;;"/>
    </dxf>
    <dxf>
      <alignment horizontal="right"/>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6</xdr:col>
      <xdr:colOff>501650</xdr:colOff>
      <xdr:row>4</xdr:row>
      <xdr:rowOff>0</xdr:rowOff>
    </xdr:from>
    <xdr:to>
      <xdr:col>8</xdr:col>
      <xdr:colOff>320675</xdr:colOff>
      <xdr:row>14</xdr:row>
      <xdr:rowOff>139700</xdr:rowOff>
    </xdr:to>
    <mc:AlternateContent xmlns:mc="http://schemas.openxmlformats.org/markup-compatibility/2006">
      <mc:Choice xmlns:a14="http://schemas.microsoft.com/office/drawing/2010/main" Requires="a14">
        <xdr:graphicFrame macro="">
          <xdr:nvGraphicFramePr>
            <xdr:cNvPr id="2" name="Months (Date)">
              <a:extLst>
                <a:ext uri="{FF2B5EF4-FFF2-40B4-BE49-F238E27FC236}">
                  <a16:creationId xmlns:a16="http://schemas.microsoft.com/office/drawing/2014/main" id="{70129842-F9A0-474E-BD33-981101287F9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5454650" y="812800"/>
              <a:ext cx="1470025" cy="217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4</xdr:row>
      <xdr:rowOff>0</xdr:rowOff>
    </xdr:from>
    <xdr:to>
      <xdr:col>6</xdr:col>
      <xdr:colOff>454025</xdr:colOff>
      <xdr:row>14</xdr:row>
      <xdr:rowOff>139700</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5DF19135-192F-AB47-B2BB-F6BDC5AC0C1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4127500" y="812800"/>
              <a:ext cx="1279525" cy="217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curtis/Downloads/finance_tracker.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rtis Collins" refreshedDate="46283.937870601854" createdVersion="8" refreshedVersion="8" minRefreshableVersion="3" recordCount="564" xr:uid="{F0C01471-6A12-7743-8679-DB0F21E08608}">
  <cacheSource type="worksheet">
    <worksheetSource name="Transactions" r:id="rId2"/>
  </cacheSource>
  <cacheFields count="11">
    <cacheField name="Account" numFmtId="0">
      <sharedItems/>
    </cacheField>
    <cacheField name="Date" numFmtId="14">
      <sharedItems containsSemiMixedTypes="0" containsNonDate="0" containsDate="1" containsString="0" minDate="2025-01-01T00:00:00" maxDate="2025-12-01T00:00:00" count="299">
        <d v="2025-01-01T00:00:00"/>
        <d v="2025-01-04T00:00:00"/>
        <d v="2025-01-05T00:00:00"/>
        <d v="2025-01-06T00:00:00"/>
        <d v="2025-01-07T00:00:00"/>
        <d v="2025-01-08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2T00:00:00"/>
        <d v="2025-05-03T00:00:00"/>
        <d v="2025-05-04T00:00:00"/>
        <d v="2025-05-05T00:00:00"/>
        <d v="2025-05-06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3T00:00:00"/>
        <d v="2025-06-04T00:00:00"/>
        <d v="2025-06-05T00:00:00"/>
        <d v="2025-06-06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5T00:00:00"/>
        <d v="2025-07-06T00:00:00"/>
        <d v="2025-07-07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2T00:00:00"/>
        <d v="2025-08-03T00:00:00"/>
        <d v="2025-08-05T00:00:00"/>
        <d v="2025-08-06T00:00:00"/>
        <d v="2025-08-07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2T00:00:00"/>
        <d v="2025-09-03T00:00:00"/>
        <d v="2025-09-05T00:00:00"/>
        <d v="2025-09-06T00:00:00"/>
        <d v="2025-09-07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3T00:00:00"/>
        <d v="2025-10-04T00:00:00"/>
        <d v="2025-10-06T00:00:00"/>
        <d v="2025-10-07T00:00:00"/>
        <d v="2025-10-08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3T00:00:00"/>
        <d v="2025-11-04T00:00:00"/>
        <d v="2025-11-06T00:00:00"/>
        <d v="2025-11-07T00:00:00"/>
        <d v="2025-11-08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fieldGroup par="10"/>
    </cacheField>
    <cacheField name="Description" numFmtId="0">
      <sharedItems/>
    </cacheField>
    <cacheField name="Debit (Spend)" numFmtId="4">
      <sharedItems containsString="0" containsBlank="1" containsNumber="1" minValue="5" maxValue="927"/>
    </cacheField>
    <cacheField name="Credit (Income)" numFmtId="4">
      <sharedItems containsString="0" containsBlank="1" containsNumber="1" containsInteger="1" minValue="35" maxValue="4000"/>
    </cacheField>
    <cacheField name="Income/(Expense)" numFmtId="4">
      <sharedItems containsSemiMixedTypes="0" containsString="0" containsNumber="1" minValue="-927" maxValue="4000"/>
    </cacheField>
    <cacheField name="Subcategory" numFmtId="0">
      <sharedItems containsBlank="1" count="23">
        <s v="Interest Earned"/>
        <s v="Bank Transfer"/>
        <s v="Side Hustle"/>
        <s v="Salary"/>
        <s v="Coffee"/>
        <s v="Rent"/>
        <s v="Loan Repayment"/>
        <s v="Groceries"/>
        <s v="Gas/Electrics"/>
        <s v="MV Fuel"/>
        <s v="Entertainment"/>
        <s v="Clothes"/>
        <s v="Restaurant"/>
        <s v="Taxi"/>
        <s v="Gym"/>
        <s v="Dentist"/>
        <s v="Phone"/>
        <s v="Gifts"/>
        <s v="Donation"/>
        <s v="Doctor"/>
        <s v="Dividends"/>
        <s v="Furnishings"/>
        <m u="1"/>
      </sharedItems>
    </cacheField>
    <cacheField name="Category" numFmtId="4">
      <sharedItems count="11">
        <s v="Add Subcategory"/>
        <s v="Fixed"/>
        <s v="Variable"/>
        <s v="Transfer" u="1"/>
        <s v="Dining Out" u="1"/>
        <s v="Living Expenses" u="1"/>
        <s v="Debt Repayment" u="1"/>
        <s v="Transport" u="1"/>
        <s v="Discretionary" u="1"/>
        <s v="Medical" u="1"/>
        <s v="Charity" u="1"/>
      </sharedItems>
    </cacheField>
    <cacheField name="Category Type" numFmtId="4">
      <sharedItems count="4">
        <s v="Add Subcategory"/>
        <s v="Income"/>
        <s v="Expense"/>
        <s v="Not Reported" u="1"/>
      </sharedItems>
    </cacheField>
    <cacheField name="Months (Date)" numFmtId="0" databaseField="0">
      <fieldGroup base="1">
        <rangePr groupBy="months" startDate="2025-01-01T00:00:00" endDate="2025-12-01T00:00:00"/>
        <groupItems count="14">
          <s v="&lt;01/01/2025"/>
          <s v="Jan"/>
          <s v="Feb"/>
          <s v="Mar"/>
          <s v="Apr"/>
          <s v="May"/>
          <s v="Jun"/>
          <s v="Jul"/>
          <s v="Aug"/>
          <s v="Sep"/>
          <s v="Oct"/>
          <s v="Nov"/>
          <s v="Dec"/>
          <s v="&gt;01/12/2025"/>
        </groupItems>
      </fieldGroup>
    </cacheField>
    <cacheField name="Years (Date)" numFmtId="0" databaseField="0">
      <fieldGroup base="1">
        <rangePr groupBy="years" startDate="2025-01-01T00:00:00" endDate="2025-12-01T00:00:00"/>
        <groupItems count="3">
          <s v="&lt;01/01/2025"/>
          <s v="2025"/>
          <s v="&gt;01/12/2025"/>
        </groupItems>
      </fieldGroup>
    </cacheField>
  </cacheFields>
  <extLst>
    <ext xmlns:x14="http://schemas.microsoft.com/office/spreadsheetml/2009/9/main" uri="{725AE2AE-9491-48be-B2B4-4EB974FC3084}">
      <x14:pivotCacheDefinition pivotCacheId="1055962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4">
  <r>
    <s v="Saving"/>
    <x v="0"/>
    <s v="Interest"/>
    <m/>
    <n v="35"/>
    <n v="35"/>
    <x v="0"/>
    <x v="0"/>
    <x v="0"/>
  </r>
  <r>
    <s v="Checking"/>
    <x v="0"/>
    <s v="Transfer to Savings"/>
    <n v="100"/>
    <m/>
    <n v="-100"/>
    <x v="1"/>
    <x v="0"/>
    <x v="0"/>
  </r>
  <r>
    <s v="Saving"/>
    <x v="0"/>
    <s v="Side Hustle"/>
    <m/>
    <n v="2057"/>
    <n v="2057"/>
    <x v="2"/>
    <x v="0"/>
    <x v="0"/>
  </r>
  <r>
    <s v="Checking"/>
    <x v="1"/>
    <s v="ACME Pty Ltd"/>
    <m/>
    <n v="4000"/>
    <n v="4000"/>
    <x v="3"/>
    <x v="1"/>
    <x v="1"/>
  </r>
  <r>
    <s v="Credit"/>
    <x v="1"/>
    <s v="Ground"/>
    <n v="5"/>
    <m/>
    <n v="-5"/>
    <x v="4"/>
    <x v="0"/>
    <x v="0"/>
  </r>
  <r>
    <s v="Checking"/>
    <x v="2"/>
    <s v="Estate Mgt."/>
    <n v="900"/>
    <m/>
    <n v="-900"/>
    <x v="5"/>
    <x v="0"/>
    <x v="0"/>
  </r>
  <r>
    <s v="Checking"/>
    <x v="2"/>
    <s v="Finance Co."/>
    <n v="150"/>
    <m/>
    <n v="-150"/>
    <x v="6"/>
    <x v="0"/>
    <x v="0"/>
  </r>
  <r>
    <s v="Credit"/>
    <x v="2"/>
    <s v="Ground"/>
    <n v="5"/>
    <m/>
    <n v="-5"/>
    <x v="4"/>
    <x v="0"/>
    <x v="0"/>
  </r>
  <r>
    <s v="Credit"/>
    <x v="3"/>
    <s v="Ground"/>
    <n v="5"/>
    <m/>
    <n v="-5"/>
    <x v="4"/>
    <x v="0"/>
    <x v="0"/>
  </r>
  <r>
    <s v="Credit"/>
    <x v="4"/>
    <s v="Ground"/>
    <n v="5"/>
    <m/>
    <n v="-5"/>
    <x v="4"/>
    <x v="0"/>
    <x v="0"/>
  </r>
  <r>
    <s v="Credit"/>
    <x v="5"/>
    <s v="Ground"/>
    <n v="5"/>
    <m/>
    <n v="-5"/>
    <x v="4"/>
    <x v="0"/>
    <x v="0"/>
  </r>
  <r>
    <s v="Credit"/>
    <x v="5"/>
    <s v="Green's"/>
    <n v="155"/>
    <m/>
    <n v="-155"/>
    <x v="7"/>
    <x v="2"/>
    <x v="2"/>
  </r>
  <r>
    <s v="Checking"/>
    <x v="6"/>
    <s v="Elec. Co."/>
    <m/>
    <n v="100"/>
    <n v="100"/>
    <x v="8"/>
    <x v="0"/>
    <x v="0"/>
  </r>
  <r>
    <s v="Credit"/>
    <x v="6"/>
    <s v="Ground"/>
    <n v="5"/>
    <m/>
    <n v="-5"/>
    <x v="4"/>
    <x v="0"/>
    <x v="0"/>
  </r>
  <r>
    <s v="Credit"/>
    <x v="7"/>
    <s v="Ground"/>
    <n v="5"/>
    <m/>
    <n v="-5"/>
    <x v="4"/>
    <x v="0"/>
    <x v="0"/>
  </r>
  <r>
    <s v="Credit"/>
    <x v="8"/>
    <s v="Fuel. Co"/>
    <n v="77"/>
    <m/>
    <n v="-77"/>
    <x v="9"/>
    <x v="0"/>
    <x v="0"/>
  </r>
  <r>
    <s v="Credit"/>
    <x v="8"/>
    <s v="Ground"/>
    <n v="5"/>
    <m/>
    <n v="-5"/>
    <x v="4"/>
    <x v="0"/>
    <x v="0"/>
  </r>
  <r>
    <s v="Credit"/>
    <x v="9"/>
    <s v="Ground"/>
    <n v="5"/>
    <m/>
    <n v="-5"/>
    <x v="4"/>
    <x v="0"/>
    <x v="0"/>
  </r>
  <r>
    <s v="Credit"/>
    <x v="10"/>
    <s v="Green's"/>
    <n v="135"/>
    <m/>
    <n v="-135"/>
    <x v="7"/>
    <x v="2"/>
    <x v="2"/>
  </r>
  <r>
    <s v="Credit"/>
    <x v="10"/>
    <s v="Ground"/>
    <n v="5"/>
    <m/>
    <n v="-5"/>
    <x v="4"/>
    <x v="0"/>
    <x v="0"/>
  </r>
  <r>
    <s v="Credit"/>
    <x v="11"/>
    <s v="Ground"/>
    <n v="5"/>
    <m/>
    <n v="-5"/>
    <x v="4"/>
    <x v="0"/>
    <x v="0"/>
  </r>
  <r>
    <s v="Credit"/>
    <x v="11"/>
    <s v="Event Cinemas"/>
    <n v="40"/>
    <m/>
    <n v="-40"/>
    <x v="10"/>
    <x v="2"/>
    <x v="2"/>
  </r>
  <r>
    <s v="Credit"/>
    <x v="11"/>
    <s v="Fashionistas"/>
    <n v="98"/>
    <m/>
    <n v="-98"/>
    <x v="11"/>
    <x v="0"/>
    <x v="0"/>
  </r>
  <r>
    <s v="Credit"/>
    <x v="11"/>
    <s v="Joe's Grill"/>
    <n v="52"/>
    <m/>
    <n v="-52"/>
    <x v="12"/>
    <x v="0"/>
    <x v="0"/>
  </r>
  <r>
    <s v="Credit"/>
    <x v="12"/>
    <s v="Taxi Co."/>
    <n v="28"/>
    <m/>
    <n v="-28"/>
    <x v="13"/>
    <x v="0"/>
    <x v="0"/>
  </r>
  <r>
    <s v="Checking"/>
    <x v="13"/>
    <s v="Muscle Beach"/>
    <n v="30"/>
    <m/>
    <n v="-30"/>
    <x v="14"/>
    <x v="0"/>
    <x v="0"/>
  </r>
  <r>
    <s v="Credit"/>
    <x v="13"/>
    <s v="Ground"/>
    <n v="5"/>
    <m/>
    <n v="-5"/>
    <x v="4"/>
    <x v="0"/>
    <x v="0"/>
  </r>
  <r>
    <s v="Credit"/>
    <x v="14"/>
    <s v="Ground"/>
    <n v="5"/>
    <m/>
    <n v="-5"/>
    <x v="4"/>
    <x v="0"/>
    <x v="0"/>
  </r>
  <r>
    <s v="Checking"/>
    <x v="14"/>
    <s v="Smile Dental"/>
    <n v="154"/>
    <m/>
    <n v="-154"/>
    <x v="15"/>
    <x v="0"/>
    <x v="0"/>
  </r>
  <r>
    <s v="Checking"/>
    <x v="14"/>
    <s v="Phone Co."/>
    <n v="40"/>
    <m/>
    <n v="-40"/>
    <x v="16"/>
    <x v="0"/>
    <x v="0"/>
  </r>
  <r>
    <s v="Credit"/>
    <x v="15"/>
    <s v="Sam's Gifts"/>
    <n v="45"/>
    <m/>
    <n v="-45"/>
    <x v="17"/>
    <x v="0"/>
    <x v="0"/>
  </r>
  <r>
    <s v="Credit"/>
    <x v="15"/>
    <s v="Streaming Co."/>
    <n v="32"/>
    <m/>
    <n v="-32"/>
    <x v="10"/>
    <x v="2"/>
    <x v="2"/>
  </r>
  <r>
    <s v="Credit"/>
    <x v="15"/>
    <s v="Ground"/>
    <n v="5"/>
    <m/>
    <n v="-5"/>
    <x v="4"/>
    <x v="0"/>
    <x v="0"/>
  </r>
  <r>
    <s v="Credit"/>
    <x v="16"/>
    <s v="Ground"/>
    <n v="5"/>
    <m/>
    <n v="-5"/>
    <x v="4"/>
    <x v="0"/>
    <x v="0"/>
  </r>
  <r>
    <s v="Credit"/>
    <x v="17"/>
    <s v="Ground"/>
    <n v="5"/>
    <m/>
    <n v="-5"/>
    <x v="4"/>
    <x v="0"/>
    <x v="0"/>
  </r>
  <r>
    <s v="Credit"/>
    <x v="17"/>
    <s v="Green's"/>
    <n v="170"/>
    <m/>
    <n v="-170"/>
    <x v="7"/>
    <x v="2"/>
    <x v="2"/>
  </r>
  <r>
    <s v="Credit"/>
    <x v="18"/>
    <s v="Pizza Pomodoro"/>
    <n v="37"/>
    <m/>
    <n v="-37"/>
    <x v="12"/>
    <x v="0"/>
    <x v="0"/>
  </r>
  <r>
    <s v="Credit"/>
    <x v="19"/>
    <s v="Golden Arches"/>
    <n v="12"/>
    <m/>
    <n v="-12"/>
    <x v="12"/>
    <x v="0"/>
    <x v="0"/>
  </r>
  <r>
    <s v="Checking"/>
    <x v="20"/>
    <s v="Worldvision"/>
    <n v="55"/>
    <m/>
    <n v="-55"/>
    <x v="18"/>
    <x v="0"/>
    <x v="0"/>
  </r>
  <r>
    <s v="Credit"/>
    <x v="20"/>
    <s v="Fuel. Co"/>
    <n v="63"/>
    <m/>
    <n v="-63"/>
    <x v="9"/>
    <x v="0"/>
    <x v="0"/>
  </r>
  <r>
    <s v="Credit"/>
    <x v="20"/>
    <s v="Ground"/>
    <n v="5"/>
    <m/>
    <n v="-5"/>
    <x v="4"/>
    <x v="0"/>
    <x v="0"/>
  </r>
  <r>
    <s v="Credit"/>
    <x v="21"/>
    <s v="Ground"/>
    <n v="5"/>
    <m/>
    <n v="-5"/>
    <x v="4"/>
    <x v="0"/>
    <x v="0"/>
  </r>
  <r>
    <s v="Credit"/>
    <x v="22"/>
    <s v="Ground"/>
    <n v="5"/>
    <m/>
    <n v="-5"/>
    <x v="4"/>
    <x v="0"/>
    <x v="0"/>
  </r>
  <r>
    <s v="Credit"/>
    <x v="23"/>
    <s v="Ground"/>
    <n v="5"/>
    <m/>
    <n v="-5"/>
    <x v="4"/>
    <x v="0"/>
    <x v="0"/>
  </r>
  <r>
    <s v="Credit"/>
    <x v="24"/>
    <s v="Ground"/>
    <n v="5"/>
    <m/>
    <n v="-5"/>
    <x v="4"/>
    <x v="0"/>
    <x v="0"/>
  </r>
  <r>
    <s v="Credit"/>
    <x v="24"/>
    <s v="Green's"/>
    <n v="162"/>
    <m/>
    <n v="-162"/>
    <x v="7"/>
    <x v="2"/>
    <x v="2"/>
  </r>
  <r>
    <s v="Credit"/>
    <x v="25"/>
    <s v="Ted's Trainers"/>
    <n v="125"/>
    <m/>
    <n v="-125"/>
    <x v="11"/>
    <x v="0"/>
    <x v="0"/>
  </r>
  <r>
    <s v="Credit"/>
    <x v="25"/>
    <s v="Ticketek"/>
    <n v="175"/>
    <m/>
    <n v="-175"/>
    <x v="10"/>
    <x v="2"/>
    <x v="2"/>
  </r>
  <r>
    <s v="Credit"/>
    <x v="26"/>
    <s v="Fashionistas"/>
    <n v="145"/>
    <m/>
    <n v="-145"/>
    <x v="11"/>
    <x v="0"/>
    <x v="0"/>
  </r>
  <r>
    <s v="Credit"/>
    <x v="26"/>
    <s v="Taxi Co."/>
    <n v="23"/>
    <m/>
    <n v="-23"/>
    <x v="13"/>
    <x v="0"/>
    <x v="0"/>
  </r>
  <r>
    <s v="Saving"/>
    <x v="27"/>
    <s v="Interest"/>
    <m/>
    <n v="36"/>
    <n v="36"/>
    <x v="0"/>
    <x v="0"/>
    <x v="0"/>
  </r>
  <r>
    <s v="Checking"/>
    <x v="27"/>
    <s v="ACME Pty Ltd"/>
    <m/>
    <n v="4000"/>
    <n v="4000"/>
    <x v="3"/>
    <x v="1"/>
    <x v="1"/>
  </r>
  <r>
    <s v="Credit"/>
    <x v="27"/>
    <s v="Ground"/>
    <n v="5"/>
    <m/>
    <n v="-5"/>
    <x v="4"/>
    <x v="0"/>
    <x v="0"/>
  </r>
  <r>
    <s v="Saving"/>
    <x v="27"/>
    <s v="Side Hustle"/>
    <m/>
    <n v="2236"/>
    <n v="2236"/>
    <x v="2"/>
    <x v="0"/>
    <x v="0"/>
  </r>
  <r>
    <s v="Checking"/>
    <x v="28"/>
    <s v="Estate Mgt."/>
    <n v="900"/>
    <m/>
    <n v="-900"/>
    <x v="5"/>
    <x v="0"/>
    <x v="0"/>
  </r>
  <r>
    <s v="Checking"/>
    <x v="28"/>
    <s v="Finance Co."/>
    <n v="150"/>
    <m/>
    <n v="-150"/>
    <x v="6"/>
    <x v="0"/>
    <x v="0"/>
  </r>
  <r>
    <s v="Checking"/>
    <x v="28"/>
    <s v="Transfer to Savings"/>
    <n v="100"/>
    <m/>
    <n v="-100"/>
    <x v="1"/>
    <x v="0"/>
    <x v="0"/>
  </r>
  <r>
    <s v="Credit"/>
    <x v="28"/>
    <s v="Ground"/>
    <n v="5"/>
    <m/>
    <n v="-5"/>
    <x v="4"/>
    <x v="0"/>
    <x v="0"/>
  </r>
  <r>
    <s v="Credit"/>
    <x v="29"/>
    <s v="Ground"/>
    <n v="5"/>
    <m/>
    <n v="-5"/>
    <x v="4"/>
    <x v="0"/>
    <x v="0"/>
  </r>
  <r>
    <s v="Credit"/>
    <x v="30"/>
    <s v="Ground"/>
    <n v="5"/>
    <m/>
    <n v="-5"/>
    <x v="4"/>
    <x v="0"/>
    <x v="0"/>
  </r>
  <r>
    <s v="Credit"/>
    <x v="31"/>
    <s v="Ground"/>
    <n v="5"/>
    <m/>
    <n v="-5"/>
    <x v="4"/>
    <x v="0"/>
    <x v="0"/>
  </r>
  <r>
    <s v="Credit"/>
    <x v="31"/>
    <s v="Green's"/>
    <n v="205"/>
    <m/>
    <n v="-205"/>
    <x v="7"/>
    <x v="2"/>
    <x v="2"/>
  </r>
  <r>
    <s v="Checking"/>
    <x v="32"/>
    <s v="Elec. Co."/>
    <n v="51.1"/>
    <m/>
    <n v="-51.1"/>
    <x v="8"/>
    <x v="0"/>
    <x v="0"/>
  </r>
  <r>
    <s v="Credit"/>
    <x v="32"/>
    <s v="Ground"/>
    <n v="5"/>
    <m/>
    <n v="-5"/>
    <x v="4"/>
    <x v="0"/>
    <x v="0"/>
  </r>
  <r>
    <s v="Credit"/>
    <x v="33"/>
    <s v="Ground"/>
    <n v="5"/>
    <m/>
    <n v="-5"/>
    <x v="4"/>
    <x v="0"/>
    <x v="0"/>
  </r>
  <r>
    <s v="Credit"/>
    <x v="34"/>
    <s v="Fuel. Co"/>
    <n v="78"/>
    <m/>
    <n v="-78"/>
    <x v="9"/>
    <x v="0"/>
    <x v="0"/>
  </r>
  <r>
    <s v="Credit"/>
    <x v="34"/>
    <s v="Ground"/>
    <n v="5"/>
    <m/>
    <n v="-5"/>
    <x v="4"/>
    <x v="0"/>
    <x v="0"/>
  </r>
  <r>
    <s v="Credit"/>
    <x v="35"/>
    <s v="Ground"/>
    <n v="5"/>
    <m/>
    <n v="-5"/>
    <x v="4"/>
    <x v="0"/>
    <x v="0"/>
  </r>
  <r>
    <s v="Credit"/>
    <x v="36"/>
    <s v="Green's"/>
    <n v="135.9"/>
    <m/>
    <n v="-135.9"/>
    <x v="7"/>
    <x v="2"/>
    <x v="2"/>
  </r>
  <r>
    <s v="Credit"/>
    <x v="36"/>
    <s v="Ground"/>
    <n v="5"/>
    <m/>
    <n v="-5"/>
    <x v="4"/>
    <x v="0"/>
    <x v="0"/>
  </r>
  <r>
    <s v="Credit"/>
    <x v="37"/>
    <s v="Ground"/>
    <n v="5"/>
    <m/>
    <n v="-5"/>
    <x v="4"/>
    <x v="0"/>
    <x v="0"/>
  </r>
  <r>
    <s v="Credit"/>
    <x v="37"/>
    <s v="Event Cinemas"/>
    <n v="40.9"/>
    <m/>
    <n v="-40.9"/>
    <x v="10"/>
    <x v="2"/>
    <x v="2"/>
  </r>
  <r>
    <s v="Credit"/>
    <x v="37"/>
    <s v="Fashionistas"/>
    <n v="99"/>
    <m/>
    <n v="-99"/>
    <x v="11"/>
    <x v="0"/>
    <x v="0"/>
  </r>
  <r>
    <s v="Credit"/>
    <x v="37"/>
    <s v="Joe's Grill"/>
    <n v="53"/>
    <m/>
    <n v="-53"/>
    <x v="12"/>
    <x v="0"/>
    <x v="0"/>
  </r>
  <r>
    <s v="Credit"/>
    <x v="38"/>
    <s v="Taxi Co."/>
    <n v="28.9"/>
    <m/>
    <n v="-28.9"/>
    <x v="13"/>
    <x v="0"/>
    <x v="0"/>
  </r>
  <r>
    <s v="Checking"/>
    <x v="39"/>
    <s v="Muscle Beach"/>
    <n v="30"/>
    <m/>
    <n v="-30"/>
    <x v="14"/>
    <x v="0"/>
    <x v="0"/>
  </r>
  <r>
    <s v="Credit"/>
    <x v="39"/>
    <s v="Ground"/>
    <n v="5"/>
    <m/>
    <n v="-5"/>
    <x v="4"/>
    <x v="0"/>
    <x v="0"/>
  </r>
  <r>
    <s v="Credit"/>
    <x v="40"/>
    <s v="Ground"/>
    <n v="5"/>
    <m/>
    <n v="-5"/>
    <x v="4"/>
    <x v="0"/>
    <x v="0"/>
  </r>
  <r>
    <s v="Checking"/>
    <x v="40"/>
    <s v="Phone Co."/>
    <n v="40"/>
    <m/>
    <n v="-40"/>
    <x v="16"/>
    <x v="0"/>
    <x v="0"/>
  </r>
  <r>
    <s v="Credit"/>
    <x v="41"/>
    <s v="Sam's Gifts"/>
    <n v="45.9"/>
    <m/>
    <n v="-45.9"/>
    <x v="17"/>
    <x v="0"/>
    <x v="0"/>
  </r>
  <r>
    <s v="Credit"/>
    <x v="41"/>
    <s v="Streaming Co."/>
    <n v="35"/>
    <m/>
    <n v="-35"/>
    <x v="10"/>
    <x v="2"/>
    <x v="2"/>
  </r>
  <r>
    <s v="Credit"/>
    <x v="41"/>
    <s v="Ground"/>
    <n v="5"/>
    <m/>
    <n v="-5"/>
    <x v="4"/>
    <x v="0"/>
    <x v="0"/>
  </r>
  <r>
    <s v="Credit"/>
    <x v="42"/>
    <s v="Ground"/>
    <n v="5"/>
    <m/>
    <n v="-5"/>
    <x v="4"/>
    <x v="0"/>
    <x v="0"/>
  </r>
  <r>
    <s v="Credit"/>
    <x v="43"/>
    <s v="Ground"/>
    <n v="5"/>
    <m/>
    <n v="-5"/>
    <x v="4"/>
    <x v="0"/>
    <x v="0"/>
  </r>
  <r>
    <s v="Credit"/>
    <x v="43"/>
    <s v="Green's"/>
    <n v="171"/>
    <m/>
    <n v="-171"/>
    <x v="7"/>
    <x v="2"/>
    <x v="2"/>
  </r>
  <r>
    <s v="Credit"/>
    <x v="44"/>
    <s v="Pizza Pomodoro"/>
    <n v="37.9"/>
    <m/>
    <n v="-37.9"/>
    <x v="12"/>
    <x v="0"/>
    <x v="0"/>
  </r>
  <r>
    <s v="Credit"/>
    <x v="45"/>
    <s v="Golden Arches"/>
    <n v="12.9"/>
    <m/>
    <n v="-12.9"/>
    <x v="12"/>
    <x v="0"/>
    <x v="0"/>
  </r>
  <r>
    <s v="Checking"/>
    <x v="46"/>
    <s v="Worldvision"/>
    <n v="55"/>
    <m/>
    <n v="-55"/>
    <x v="18"/>
    <x v="0"/>
    <x v="0"/>
  </r>
  <r>
    <s v="Credit"/>
    <x v="46"/>
    <s v="Fuel. Co"/>
    <n v="64.099999999999994"/>
    <m/>
    <n v="-64.099999999999994"/>
    <x v="9"/>
    <x v="0"/>
    <x v="0"/>
  </r>
  <r>
    <s v="Credit"/>
    <x v="46"/>
    <s v="Ground"/>
    <n v="5"/>
    <m/>
    <n v="-5"/>
    <x v="4"/>
    <x v="0"/>
    <x v="0"/>
  </r>
  <r>
    <s v="Credit"/>
    <x v="47"/>
    <s v="Ground"/>
    <n v="5"/>
    <m/>
    <n v="-5"/>
    <x v="4"/>
    <x v="0"/>
    <x v="0"/>
  </r>
  <r>
    <s v="Credit"/>
    <x v="48"/>
    <s v="Ground"/>
    <n v="5"/>
    <m/>
    <n v="-5"/>
    <x v="4"/>
    <x v="0"/>
    <x v="0"/>
  </r>
  <r>
    <s v="Credit"/>
    <x v="49"/>
    <s v="Ground"/>
    <n v="5"/>
    <m/>
    <n v="-5"/>
    <x v="4"/>
    <x v="0"/>
    <x v="0"/>
  </r>
  <r>
    <s v="Credit"/>
    <x v="50"/>
    <s v="Ground"/>
    <n v="5"/>
    <m/>
    <n v="-5"/>
    <x v="4"/>
    <x v="0"/>
    <x v="0"/>
  </r>
  <r>
    <s v="Credit"/>
    <x v="50"/>
    <s v="Green's"/>
    <n v="162.9"/>
    <m/>
    <n v="-162.9"/>
    <x v="7"/>
    <x v="2"/>
    <x v="2"/>
  </r>
  <r>
    <s v="Credit"/>
    <x v="51"/>
    <s v="Ted's Trainers"/>
    <n v="125.9"/>
    <m/>
    <n v="-125.9"/>
    <x v="11"/>
    <x v="0"/>
    <x v="0"/>
  </r>
  <r>
    <s v="Credit"/>
    <x v="51"/>
    <s v="Global Fashion"/>
    <n v="137"/>
    <m/>
    <n v="-137"/>
    <x v="11"/>
    <x v="0"/>
    <x v="0"/>
  </r>
  <r>
    <s v="Credit"/>
    <x v="52"/>
    <s v="Fashionistas"/>
    <n v="146.1"/>
    <m/>
    <n v="-146.1"/>
    <x v="11"/>
    <x v="0"/>
    <x v="0"/>
  </r>
  <r>
    <s v="Credit"/>
    <x v="52"/>
    <s v="Taxi Co."/>
    <n v="24.1"/>
    <m/>
    <n v="-24.1"/>
    <x v="13"/>
    <x v="0"/>
    <x v="0"/>
  </r>
  <r>
    <s v="Checking"/>
    <x v="53"/>
    <s v="ACME Pty Ltd"/>
    <m/>
    <n v="4000"/>
    <n v="4000"/>
    <x v="3"/>
    <x v="1"/>
    <x v="1"/>
  </r>
  <r>
    <s v="Saving"/>
    <x v="53"/>
    <s v="Interest"/>
    <m/>
    <n v="37"/>
    <n v="37"/>
    <x v="0"/>
    <x v="0"/>
    <x v="0"/>
  </r>
  <r>
    <s v="Credit"/>
    <x v="53"/>
    <s v="Ground"/>
    <n v="5"/>
    <m/>
    <n v="-5"/>
    <x v="4"/>
    <x v="0"/>
    <x v="0"/>
  </r>
  <r>
    <s v="Saving"/>
    <x v="53"/>
    <s v="Side Hustle"/>
    <m/>
    <n v="1364"/>
    <n v="1364"/>
    <x v="2"/>
    <x v="0"/>
    <x v="0"/>
  </r>
  <r>
    <s v="Checking"/>
    <x v="54"/>
    <s v="Estate Mgt."/>
    <n v="900"/>
    <m/>
    <n v="-900"/>
    <x v="5"/>
    <x v="0"/>
    <x v="0"/>
  </r>
  <r>
    <s v="Checking"/>
    <x v="54"/>
    <s v="Finance Co."/>
    <n v="150"/>
    <m/>
    <n v="-150"/>
    <x v="6"/>
    <x v="0"/>
    <x v="0"/>
  </r>
  <r>
    <s v="Credit"/>
    <x v="54"/>
    <s v="Ground"/>
    <n v="5"/>
    <m/>
    <n v="-5"/>
    <x v="4"/>
    <x v="0"/>
    <x v="0"/>
  </r>
  <r>
    <s v="Credit"/>
    <x v="55"/>
    <s v="Ground"/>
    <n v="5"/>
    <m/>
    <n v="-5"/>
    <x v="4"/>
    <x v="0"/>
    <x v="0"/>
  </r>
  <r>
    <s v="Credit"/>
    <x v="56"/>
    <s v="Ground"/>
    <n v="5"/>
    <m/>
    <n v="-5"/>
    <x v="4"/>
    <x v="0"/>
    <x v="0"/>
  </r>
  <r>
    <s v="Credit"/>
    <x v="57"/>
    <s v="Ground"/>
    <n v="5"/>
    <m/>
    <n v="-5"/>
    <x v="4"/>
    <x v="0"/>
    <x v="0"/>
  </r>
  <r>
    <s v="Credit"/>
    <x v="57"/>
    <s v="Green's"/>
    <n v="149"/>
    <m/>
    <n v="-149"/>
    <x v="7"/>
    <x v="2"/>
    <x v="2"/>
  </r>
  <r>
    <s v="Checking"/>
    <x v="58"/>
    <s v="Elec. Co."/>
    <n v="52.1"/>
    <m/>
    <n v="-52.1"/>
    <x v="8"/>
    <x v="0"/>
    <x v="0"/>
  </r>
  <r>
    <s v="Credit"/>
    <x v="58"/>
    <s v="Ground"/>
    <n v="5"/>
    <m/>
    <n v="-5"/>
    <x v="4"/>
    <x v="0"/>
    <x v="0"/>
  </r>
  <r>
    <s v="Credit"/>
    <x v="59"/>
    <s v="Ground"/>
    <n v="5"/>
    <m/>
    <n v="-5"/>
    <x v="4"/>
    <x v="0"/>
    <x v="0"/>
  </r>
  <r>
    <s v="Checking"/>
    <x v="59"/>
    <s v="Transfer to Savings"/>
    <n v="100"/>
    <m/>
    <n v="-100"/>
    <x v="1"/>
    <x v="0"/>
    <x v="0"/>
  </r>
  <r>
    <s v="Credit"/>
    <x v="60"/>
    <s v="Fuel. Co"/>
    <n v="78.900000000000006"/>
    <m/>
    <n v="-78.900000000000006"/>
    <x v="9"/>
    <x v="0"/>
    <x v="0"/>
  </r>
  <r>
    <s v="Credit"/>
    <x v="60"/>
    <s v="Ground"/>
    <n v="5"/>
    <m/>
    <n v="-5"/>
    <x v="4"/>
    <x v="0"/>
    <x v="0"/>
  </r>
  <r>
    <s v="Credit"/>
    <x v="61"/>
    <s v="Ground"/>
    <n v="5"/>
    <m/>
    <n v="-5"/>
    <x v="4"/>
    <x v="0"/>
    <x v="0"/>
  </r>
  <r>
    <s v="Credit"/>
    <x v="62"/>
    <s v="Green's"/>
    <n v="137"/>
    <m/>
    <n v="-137"/>
    <x v="7"/>
    <x v="2"/>
    <x v="2"/>
  </r>
  <r>
    <s v="Credit"/>
    <x v="62"/>
    <s v="Ground"/>
    <n v="5"/>
    <m/>
    <n v="-5"/>
    <x v="4"/>
    <x v="0"/>
    <x v="0"/>
  </r>
  <r>
    <s v="Credit"/>
    <x v="63"/>
    <s v="Ground"/>
    <n v="5"/>
    <m/>
    <n v="-5"/>
    <x v="4"/>
    <x v="0"/>
    <x v="0"/>
  </r>
  <r>
    <s v="Credit"/>
    <x v="63"/>
    <s v="Event Cinemas"/>
    <n v="41.8"/>
    <m/>
    <n v="-41.8"/>
    <x v="10"/>
    <x v="2"/>
    <x v="2"/>
  </r>
  <r>
    <s v="Credit"/>
    <x v="63"/>
    <s v="Fashionistas"/>
    <n v="99.9"/>
    <m/>
    <n v="-99.9"/>
    <x v="11"/>
    <x v="0"/>
    <x v="0"/>
  </r>
  <r>
    <s v="Credit"/>
    <x v="63"/>
    <s v="Joe's Grill"/>
    <n v="54"/>
    <m/>
    <n v="-54"/>
    <x v="12"/>
    <x v="0"/>
    <x v="0"/>
  </r>
  <r>
    <s v="Credit"/>
    <x v="64"/>
    <s v="Taxi Co."/>
    <n v="30"/>
    <m/>
    <n v="-30"/>
    <x v="13"/>
    <x v="0"/>
    <x v="0"/>
  </r>
  <r>
    <s v="Checking"/>
    <x v="65"/>
    <s v="Muscle Beach"/>
    <n v="30"/>
    <m/>
    <n v="-30"/>
    <x v="14"/>
    <x v="0"/>
    <x v="0"/>
  </r>
  <r>
    <s v="Credit"/>
    <x v="65"/>
    <s v="Ground"/>
    <n v="5"/>
    <m/>
    <n v="-5"/>
    <x v="4"/>
    <x v="0"/>
    <x v="0"/>
  </r>
  <r>
    <s v="Credit"/>
    <x v="66"/>
    <s v="Ground"/>
    <n v="5"/>
    <m/>
    <n v="-5"/>
    <x v="4"/>
    <x v="0"/>
    <x v="0"/>
  </r>
  <r>
    <s v="Checking"/>
    <x v="66"/>
    <s v="Village Medical"/>
    <n v="75"/>
    <m/>
    <n v="-75"/>
    <x v="19"/>
    <x v="0"/>
    <x v="0"/>
  </r>
  <r>
    <s v="Checking"/>
    <x v="66"/>
    <s v="Phone Co."/>
    <n v="40"/>
    <m/>
    <n v="-40"/>
    <x v="16"/>
    <x v="0"/>
    <x v="0"/>
  </r>
  <r>
    <s v="Credit"/>
    <x v="67"/>
    <s v="Sam's Gifts"/>
    <n v="46.8"/>
    <m/>
    <n v="-46.8"/>
    <x v="17"/>
    <x v="0"/>
    <x v="0"/>
  </r>
  <r>
    <s v="Credit"/>
    <x v="67"/>
    <s v="Streaming Co."/>
    <n v="35"/>
    <m/>
    <n v="-35"/>
    <x v="10"/>
    <x v="2"/>
    <x v="2"/>
  </r>
  <r>
    <s v="Credit"/>
    <x v="67"/>
    <s v="Ground"/>
    <n v="5"/>
    <m/>
    <n v="-5"/>
    <x v="4"/>
    <x v="0"/>
    <x v="0"/>
  </r>
  <r>
    <s v="Credit"/>
    <x v="68"/>
    <s v="Ground"/>
    <n v="5"/>
    <m/>
    <n v="-5"/>
    <x v="4"/>
    <x v="0"/>
    <x v="0"/>
  </r>
  <r>
    <s v="Credit"/>
    <x v="69"/>
    <s v="Ground"/>
    <n v="5"/>
    <m/>
    <n v="-5"/>
    <x v="4"/>
    <x v="0"/>
    <x v="0"/>
  </r>
  <r>
    <s v="Credit"/>
    <x v="69"/>
    <s v="Green's"/>
    <n v="171.9"/>
    <m/>
    <n v="-171.9"/>
    <x v="7"/>
    <x v="2"/>
    <x v="2"/>
  </r>
  <r>
    <s v="Credit"/>
    <x v="70"/>
    <s v="Pizza Pomodoro"/>
    <n v="39"/>
    <m/>
    <n v="-39"/>
    <x v="12"/>
    <x v="0"/>
    <x v="0"/>
  </r>
  <r>
    <s v="Credit"/>
    <x v="71"/>
    <s v="Golden Arches"/>
    <n v="14"/>
    <m/>
    <n v="-14"/>
    <x v="12"/>
    <x v="0"/>
    <x v="0"/>
  </r>
  <r>
    <s v="Checking"/>
    <x v="72"/>
    <s v="Worldvision"/>
    <n v="55"/>
    <m/>
    <n v="-55"/>
    <x v="18"/>
    <x v="0"/>
    <x v="0"/>
  </r>
  <r>
    <s v="Credit"/>
    <x v="72"/>
    <s v="Fuel. Co"/>
    <n v="65"/>
    <m/>
    <n v="-65"/>
    <x v="9"/>
    <x v="0"/>
    <x v="0"/>
  </r>
  <r>
    <s v="Credit"/>
    <x v="72"/>
    <s v="Ground"/>
    <n v="5"/>
    <m/>
    <n v="-5"/>
    <x v="4"/>
    <x v="0"/>
    <x v="0"/>
  </r>
  <r>
    <s v="Credit"/>
    <x v="73"/>
    <s v="Ground"/>
    <n v="5"/>
    <m/>
    <n v="-5"/>
    <x v="4"/>
    <x v="0"/>
    <x v="0"/>
  </r>
  <r>
    <s v="Credit"/>
    <x v="74"/>
    <s v="Ground"/>
    <n v="5"/>
    <m/>
    <n v="-5"/>
    <x v="4"/>
    <x v="0"/>
    <x v="0"/>
  </r>
  <r>
    <s v="Credit"/>
    <x v="75"/>
    <s v="Ground"/>
    <n v="5"/>
    <m/>
    <n v="-5"/>
    <x v="4"/>
    <x v="0"/>
    <x v="0"/>
  </r>
  <r>
    <s v="Credit"/>
    <x v="76"/>
    <s v="Ground"/>
    <n v="5"/>
    <m/>
    <n v="-5"/>
    <x v="4"/>
    <x v="0"/>
    <x v="0"/>
  </r>
  <r>
    <s v="Credit"/>
    <x v="76"/>
    <s v="Green's"/>
    <n v="209"/>
    <m/>
    <n v="-209"/>
    <x v="7"/>
    <x v="2"/>
    <x v="2"/>
  </r>
  <r>
    <s v="Credit"/>
    <x v="77"/>
    <s v="Ted's Trainers"/>
    <n v="127"/>
    <m/>
    <n v="-127"/>
    <x v="11"/>
    <x v="0"/>
    <x v="0"/>
  </r>
  <r>
    <s v="Credit"/>
    <x v="77"/>
    <s v="Sports Co."/>
    <n v="177.2"/>
    <m/>
    <n v="-177.2"/>
    <x v="11"/>
    <x v="0"/>
    <x v="0"/>
  </r>
  <r>
    <s v="Credit"/>
    <x v="78"/>
    <s v="Fashionistas"/>
    <n v="147.1"/>
    <m/>
    <n v="-147.1"/>
    <x v="11"/>
    <x v="0"/>
    <x v="0"/>
  </r>
  <r>
    <s v="Credit"/>
    <x v="78"/>
    <s v="Taxi Co."/>
    <n v="25"/>
    <m/>
    <n v="-25"/>
    <x v="13"/>
    <x v="0"/>
    <x v="0"/>
  </r>
  <r>
    <s v="Credit"/>
    <x v="79"/>
    <s v="Foodary"/>
    <n v="15"/>
    <m/>
    <n v="-15"/>
    <x v="12"/>
    <x v="0"/>
    <x v="0"/>
  </r>
  <r>
    <s v="Credit"/>
    <x v="80"/>
    <s v="Ground"/>
    <n v="5"/>
    <m/>
    <n v="-5"/>
    <x v="4"/>
    <x v="0"/>
    <x v="0"/>
  </r>
  <r>
    <s v="Credit"/>
    <x v="81"/>
    <s v="Ground"/>
    <n v="5"/>
    <m/>
    <n v="-5"/>
    <x v="4"/>
    <x v="0"/>
    <x v="0"/>
  </r>
  <r>
    <s v="Checking"/>
    <x v="81"/>
    <s v="Amoogle"/>
    <m/>
    <n v="1350"/>
    <n v="1350"/>
    <x v="20"/>
    <x v="2"/>
    <x v="1"/>
  </r>
  <r>
    <s v="Checking"/>
    <x v="82"/>
    <s v="ACME Pty Ltd"/>
    <m/>
    <n v="4000"/>
    <n v="4000"/>
    <x v="3"/>
    <x v="1"/>
    <x v="1"/>
  </r>
  <r>
    <s v="Saving"/>
    <x v="82"/>
    <s v="Interest"/>
    <m/>
    <n v="38"/>
    <n v="38"/>
    <x v="0"/>
    <x v="0"/>
    <x v="0"/>
  </r>
  <r>
    <s v="Credit"/>
    <x v="82"/>
    <s v="Ground"/>
    <n v="5"/>
    <m/>
    <n v="-5"/>
    <x v="4"/>
    <x v="0"/>
    <x v="0"/>
  </r>
  <r>
    <s v="Saving"/>
    <x v="82"/>
    <s v="Side Hustle"/>
    <m/>
    <n v="2964"/>
    <n v="2964"/>
    <x v="2"/>
    <x v="0"/>
    <x v="0"/>
  </r>
  <r>
    <s v="Checking"/>
    <x v="83"/>
    <s v="Estate Mgt."/>
    <n v="900"/>
    <m/>
    <n v="-900"/>
    <x v="5"/>
    <x v="0"/>
    <x v="0"/>
  </r>
  <r>
    <s v="Checking"/>
    <x v="83"/>
    <s v="Finance Co."/>
    <n v="150"/>
    <m/>
    <n v="-150"/>
    <x v="6"/>
    <x v="0"/>
    <x v="0"/>
  </r>
  <r>
    <s v="Credit"/>
    <x v="83"/>
    <s v="Ground"/>
    <n v="5"/>
    <m/>
    <n v="-5"/>
    <x v="4"/>
    <x v="0"/>
    <x v="0"/>
  </r>
  <r>
    <s v="Credit"/>
    <x v="84"/>
    <s v="Ground"/>
    <n v="5"/>
    <m/>
    <n v="-5"/>
    <x v="4"/>
    <x v="0"/>
    <x v="0"/>
  </r>
  <r>
    <s v="Credit"/>
    <x v="85"/>
    <s v="Ground"/>
    <n v="5"/>
    <m/>
    <n v="-5"/>
    <x v="4"/>
    <x v="0"/>
    <x v="0"/>
  </r>
  <r>
    <s v="Credit"/>
    <x v="86"/>
    <s v="Ground"/>
    <n v="5"/>
    <m/>
    <n v="-5"/>
    <x v="4"/>
    <x v="0"/>
    <x v="0"/>
  </r>
  <r>
    <s v="Credit"/>
    <x v="86"/>
    <s v="Green's"/>
    <n v="158.19999999999999"/>
    <m/>
    <n v="-158.19999999999999"/>
    <x v="7"/>
    <x v="2"/>
    <x v="2"/>
  </r>
  <r>
    <s v="Checking"/>
    <x v="87"/>
    <s v="Elec. Co."/>
    <n v="53.2"/>
    <m/>
    <n v="-53.2"/>
    <x v="8"/>
    <x v="0"/>
    <x v="0"/>
  </r>
  <r>
    <s v="Credit"/>
    <x v="87"/>
    <s v="Ground"/>
    <n v="5"/>
    <m/>
    <n v="-5"/>
    <x v="4"/>
    <x v="0"/>
    <x v="0"/>
  </r>
  <r>
    <s v="Credit"/>
    <x v="88"/>
    <s v="Ground"/>
    <n v="5"/>
    <m/>
    <n v="-5"/>
    <x v="4"/>
    <x v="0"/>
    <x v="0"/>
  </r>
  <r>
    <s v="Credit"/>
    <x v="89"/>
    <s v="Fuel. Co"/>
    <n v="79.900000000000006"/>
    <m/>
    <n v="-79.900000000000006"/>
    <x v="9"/>
    <x v="0"/>
    <x v="0"/>
  </r>
  <r>
    <s v="Credit"/>
    <x v="89"/>
    <s v="Ground"/>
    <n v="5"/>
    <m/>
    <n v="-5"/>
    <x v="4"/>
    <x v="0"/>
    <x v="0"/>
  </r>
  <r>
    <s v="Credit"/>
    <x v="90"/>
    <s v="Ground"/>
    <n v="5"/>
    <m/>
    <n v="-5"/>
    <x v="4"/>
    <x v="0"/>
    <x v="0"/>
  </r>
  <r>
    <s v="Credit"/>
    <x v="91"/>
    <s v="Green's"/>
    <n v="98"/>
    <m/>
    <n v="-98"/>
    <x v="7"/>
    <x v="2"/>
    <x v="2"/>
  </r>
  <r>
    <s v="Credit"/>
    <x v="91"/>
    <s v="Ground"/>
    <n v="5"/>
    <m/>
    <n v="-5"/>
    <x v="4"/>
    <x v="0"/>
    <x v="0"/>
  </r>
  <r>
    <s v="Checking"/>
    <x v="91"/>
    <s v="Transfer to Savings"/>
    <n v="100"/>
    <m/>
    <n v="-100"/>
    <x v="1"/>
    <x v="0"/>
    <x v="0"/>
  </r>
  <r>
    <s v="Credit"/>
    <x v="92"/>
    <s v="Ground"/>
    <n v="5"/>
    <m/>
    <n v="-5"/>
    <x v="4"/>
    <x v="0"/>
    <x v="0"/>
  </r>
  <r>
    <s v="Credit"/>
    <x v="92"/>
    <s v="Event Cinemas"/>
    <n v="42.8"/>
    <m/>
    <n v="-42.8"/>
    <x v="10"/>
    <x v="2"/>
    <x v="2"/>
  </r>
  <r>
    <s v="Credit"/>
    <x v="92"/>
    <s v="Fashionistas"/>
    <n v="100.9"/>
    <m/>
    <n v="-100.9"/>
    <x v="11"/>
    <x v="0"/>
    <x v="0"/>
  </r>
  <r>
    <s v="Credit"/>
    <x v="92"/>
    <s v="Joe's Grill"/>
    <n v="54.9"/>
    <m/>
    <n v="-54.9"/>
    <x v="12"/>
    <x v="0"/>
    <x v="0"/>
  </r>
  <r>
    <s v="Credit"/>
    <x v="93"/>
    <s v="Taxi Co."/>
    <n v="31"/>
    <m/>
    <n v="-31"/>
    <x v="13"/>
    <x v="0"/>
    <x v="0"/>
  </r>
  <r>
    <s v="Checking"/>
    <x v="94"/>
    <s v="Muscle Beach"/>
    <n v="30"/>
    <m/>
    <n v="-30"/>
    <x v="14"/>
    <x v="0"/>
    <x v="0"/>
  </r>
  <r>
    <s v="Credit"/>
    <x v="94"/>
    <s v="Ground"/>
    <n v="5"/>
    <m/>
    <n v="-5"/>
    <x v="4"/>
    <x v="0"/>
    <x v="0"/>
  </r>
  <r>
    <s v="Credit"/>
    <x v="95"/>
    <s v="Ground"/>
    <n v="5"/>
    <m/>
    <n v="-5"/>
    <x v="4"/>
    <x v="0"/>
    <x v="0"/>
  </r>
  <r>
    <s v="Checking"/>
    <x v="95"/>
    <s v="Phone Co."/>
    <n v="40"/>
    <m/>
    <n v="-40"/>
    <x v="16"/>
    <x v="0"/>
    <x v="0"/>
  </r>
  <r>
    <s v="Credit"/>
    <x v="96"/>
    <s v="Sam's Gifts"/>
    <n v="47.9"/>
    <m/>
    <n v="-47.9"/>
    <x v="17"/>
    <x v="0"/>
    <x v="0"/>
  </r>
  <r>
    <s v="Credit"/>
    <x v="96"/>
    <s v="Streaming Co."/>
    <n v="35"/>
    <m/>
    <n v="-35"/>
    <x v="10"/>
    <x v="2"/>
    <x v="2"/>
  </r>
  <r>
    <s v="Credit"/>
    <x v="96"/>
    <s v="Ground"/>
    <n v="5"/>
    <m/>
    <n v="-5"/>
    <x v="4"/>
    <x v="0"/>
    <x v="0"/>
  </r>
  <r>
    <s v="Credit"/>
    <x v="97"/>
    <s v="Ground"/>
    <n v="5"/>
    <m/>
    <n v="-5"/>
    <x v="4"/>
    <x v="0"/>
    <x v="0"/>
  </r>
  <r>
    <s v="Credit"/>
    <x v="98"/>
    <s v="Ground"/>
    <n v="5"/>
    <m/>
    <n v="-5"/>
    <x v="4"/>
    <x v="0"/>
    <x v="0"/>
  </r>
  <r>
    <s v="Credit"/>
    <x v="98"/>
    <s v="Green's"/>
    <n v="173"/>
    <m/>
    <n v="-173"/>
    <x v="7"/>
    <x v="2"/>
    <x v="2"/>
  </r>
  <r>
    <s v="Credit"/>
    <x v="99"/>
    <s v="Pizza Pomodoro"/>
    <n v="40.1"/>
    <m/>
    <n v="-40.1"/>
    <x v="12"/>
    <x v="0"/>
    <x v="0"/>
  </r>
  <r>
    <s v="Credit"/>
    <x v="100"/>
    <s v="Golden Arches"/>
    <n v="15.1"/>
    <m/>
    <n v="-15.1"/>
    <x v="12"/>
    <x v="0"/>
    <x v="0"/>
  </r>
  <r>
    <s v="Checking"/>
    <x v="101"/>
    <s v="Worldvision"/>
    <n v="55"/>
    <m/>
    <n v="-55"/>
    <x v="18"/>
    <x v="0"/>
    <x v="0"/>
  </r>
  <r>
    <s v="Credit"/>
    <x v="101"/>
    <s v="Fuel. Co"/>
    <n v="66"/>
    <m/>
    <n v="-66"/>
    <x v="9"/>
    <x v="0"/>
    <x v="0"/>
  </r>
  <r>
    <s v="Credit"/>
    <x v="101"/>
    <s v="Ground"/>
    <n v="5"/>
    <m/>
    <n v="-5"/>
    <x v="4"/>
    <x v="0"/>
    <x v="0"/>
  </r>
  <r>
    <s v="Credit"/>
    <x v="102"/>
    <s v="Ground"/>
    <n v="5"/>
    <m/>
    <n v="-5"/>
    <x v="4"/>
    <x v="0"/>
    <x v="0"/>
  </r>
  <r>
    <s v="Credit"/>
    <x v="103"/>
    <s v="Ground"/>
    <n v="5"/>
    <m/>
    <n v="-5"/>
    <x v="4"/>
    <x v="0"/>
    <x v="0"/>
  </r>
  <r>
    <s v="Credit"/>
    <x v="104"/>
    <s v="Ground"/>
    <n v="5"/>
    <m/>
    <n v="-5"/>
    <x v="4"/>
    <x v="0"/>
    <x v="0"/>
  </r>
  <r>
    <s v="Credit"/>
    <x v="105"/>
    <s v="Ground"/>
    <n v="5"/>
    <m/>
    <n v="-5"/>
    <x v="4"/>
    <x v="0"/>
    <x v="0"/>
  </r>
  <r>
    <s v="Credit"/>
    <x v="105"/>
    <s v="Green's"/>
    <n v="164.9"/>
    <m/>
    <n v="-164.9"/>
    <x v="7"/>
    <x v="2"/>
    <x v="2"/>
  </r>
  <r>
    <s v="Credit"/>
    <x v="106"/>
    <s v="Ted's Trainers"/>
    <n v="127.9"/>
    <m/>
    <n v="-127.9"/>
    <x v="11"/>
    <x v="0"/>
    <x v="0"/>
  </r>
  <r>
    <s v="Credit"/>
    <x v="106"/>
    <s v="BW Club"/>
    <n v="300"/>
    <m/>
    <n v="-300"/>
    <x v="10"/>
    <x v="2"/>
    <x v="2"/>
  </r>
  <r>
    <s v="Credit"/>
    <x v="107"/>
    <s v="Fashionistas"/>
    <n v="148.1"/>
    <m/>
    <n v="-148.1"/>
    <x v="11"/>
    <x v="0"/>
    <x v="0"/>
  </r>
  <r>
    <s v="Credit"/>
    <x v="107"/>
    <s v="Taxi Co."/>
    <n v="26.1"/>
    <m/>
    <n v="-26.1"/>
    <x v="13"/>
    <x v="0"/>
    <x v="0"/>
  </r>
  <r>
    <s v="Credit"/>
    <x v="108"/>
    <s v="Foodary"/>
    <n v="15"/>
    <m/>
    <n v="-15"/>
    <x v="12"/>
    <x v="0"/>
    <x v="0"/>
  </r>
  <r>
    <s v="Credit"/>
    <x v="108"/>
    <s v="Ground"/>
    <n v="5"/>
    <m/>
    <n v="-5"/>
    <x v="4"/>
    <x v="0"/>
    <x v="0"/>
  </r>
  <r>
    <s v="Credit"/>
    <x v="109"/>
    <s v="Ground"/>
    <n v="5"/>
    <m/>
    <n v="-5"/>
    <x v="4"/>
    <x v="0"/>
    <x v="0"/>
  </r>
  <r>
    <s v="Credit"/>
    <x v="110"/>
    <s v="Ground"/>
    <n v="5"/>
    <m/>
    <n v="-5"/>
    <x v="4"/>
    <x v="0"/>
    <x v="0"/>
  </r>
  <r>
    <s v="Checking"/>
    <x v="111"/>
    <s v="ACME Pty Ltd"/>
    <m/>
    <n v="4000"/>
    <n v="4000"/>
    <x v="3"/>
    <x v="1"/>
    <x v="1"/>
  </r>
  <r>
    <s v="Saving"/>
    <x v="111"/>
    <s v="Interest"/>
    <m/>
    <n v="39"/>
    <n v="39"/>
    <x v="0"/>
    <x v="0"/>
    <x v="0"/>
  </r>
  <r>
    <s v="Checking"/>
    <x v="111"/>
    <s v="Estate Mgt."/>
    <n v="900"/>
    <m/>
    <n v="-900"/>
    <x v="5"/>
    <x v="0"/>
    <x v="0"/>
  </r>
  <r>
    <s v="Checking"/>
    <x v="111"/>
    <s v="Finance Co."/>
    <n v="150"/>
    <m/>
    <n v="-150"/>
    <x v="6"/>
    <x v="0"/>
    <x v="0"/>
  </r>
  <r>
    <s v="Credit"/>
    <x v="111"/>
    <s v="Ground"/>
    <n v="5"/>
    <m/>
    <n v="-5"/>
    <x v="4"/>
    <x v="0"/>
    <x v="0"/>
  </r>
  <r>
    <s v="Saving"/>
    <x v="111"/>
    <s v="Side Hustle"/>
    <m/>
    <n v="2852"/>
    <n v="2852"/>
    <x v="2"/>
    <x v="0"/>
    <x v="0"/>
  </r>
  <r>
    <s v="Credit"/>
    <x v="112"/>
    <s v="Ground"/>
    <n v="5"/>
    <m/>
    <n v="-5"/>
    <x v="4"/>
    <x v="0"/>
    <x v="0"/>
  </r>
  <r>
    <s v="Credit"/>
    <x v="113"/>
    <s v="Ground"/>
    <n v="5"/>
    <m/>
    <n v="-5"/>
    <x v="4"/>
    <x v="0"/>
    <x v="0"/>
  </r>
  <r>
    <s v="Credit"/>
    <x v="114"/>
    <s v="Ground"/>
    <n v="5"/>
    <m/>
    <n v="-5"/>
    <x v="4"/>
    <x v="0"/>
    <x v="0"/>
  </r>
  <r>
    <s v="Credit"/>
    <x v="114"/>
    <s v="Green's"/>
    <n v="170"/>
    <m/>
    <n v="-170"/>
    <x v="7"/>
    <x v="2"/>
    <x v="2"/>
  </r>
  <r>
    <s v="Checking"/>
    <x v="115"/>
    <s v="Elec. Co."/>
    <n v="54.1"/>
    <m/>
    <n v="-54.1"/>
    <x v="8"/>
    <x v="0"/>
    <x v="0"/>
  </r>
  <r>
    <s v="Credit"/>
    <x v="115"/>
    <s v="Ground"/>
    <n v="5"/>
    <m/>
    <n v="-5"/>
    <x v="4"/>
    <x v="0"/>
    <x v="0"/>
  </r>
  <r>
    <s v="Credit"/>
    <x v="116"/>
    <s v="Ground"/>
    <n v="5"/>
    <m/>
    <n v="-5"/>
    <x v="4"/>
    <x v="0"/>
    <x v="0"/>
  </r>
  <r>
    <s v="Credit"/>
    <x v="117"/>
    <s v="Fuel. Co"/>
    <n v="81"/>
    <m/>
    <n v="-81"/>
    <x v="9"/>
    <x v="0"/>
    <x v="0"/>
  </r>
  <r>
    <s v="Credit"/>
    <x v="117"/>
    <s v="Ground"/>
    <n v="5"/>
    <m/>
    <n v="-5"/>
    <x v="4"/>
    <x v="0"/>
    <x v="0"/>
  </r>
  <r>
    <s v="Credit"/>
    <x v="118"/>
    <s v="Ground"/>
    <n v="5"/>
    <m/>
    <n v="-5"/>
    <x v="4"/>
    <x v="0"/>
    <x v="0"/>
  </r>
  <r>
    <s v="Credit"/>
    <x v="119"/>
    <s v="Green's"/>
    <n v="139.1"/>
    <m/>
    <n v="-139.1"/>
    <x v="7"/>
    <x v="2"/>
    <x v="2"/>
  </r>
  <r>
    <s v="Credit"/>
    <x v="119"/>
    <s v="Ground"/>
    <n v="5"/>
    <m/>
    <n v="-5"/>
    <x v="4"/>
    <x v="0"/>
    <x v="0"/>
  </r>
  <r>
    <s v="Credit"/>
    <x v="120"/>
    <s v="Ground"/>
    <n v="5"/>
    <m/>
    <n v="-5"/>
    <x v="4"/>
    <x v="0"/>
    <x v="0"/>
  </r>
  <r>
    <s v="Credit"/>
    <x v="120"/>
    <s v="Event Cinemas"/>
    <n v="43.9"/>
    <m/>
    <n v="-43.9"/>
    <x v="10"/>
    <x v="2"/>
    <x v="2"/>
  </r>
  <r>
    <s v="Credit"/>
    <x v="120"/>
    <s v="Fashionistas"/>
    <n v="101.80000000000001"/>
    <m/>
    <n v="-101.80000000000001"/>
    <x v="11"/>
    <x v="0"/>
    <x v="0"/>
  </r>
  <r>
    <s v="Credit"/>
    <x v="120"/>
    <s v="Joe's Grill"/>
    <n v="55.9"/>
    <m/>
    <n v="-55.9"/>
    <x v="12"/>
    <x v="0"/>
    <x v="0"/>
  </r>
  <r>
    <s v="Credit"/>
    <x v="121"/>
    <s v="Taxi Co."/>
    <n v="32"/>
    <m/>
    <n v="-32"/>
    <x v="13"/>
    <x v="0"/>
    <x v="0"/>
  </r>
  <r>
    <s v="Checking"/>
    <x v="122"/>
    <s v="Muscle Beach"/>
    <n v="30"/>
    <m/>
    <n v="-30"/>
    <x v="14"/>
    <x v="0"/>
    <x v="0"/>
  </r>
  <r>
    <s v="Credit"/>
    <x v="122"/>
    <s v="Ground"/>
    <n v="5"/>
    <m/>
    <n v="-5"/>
    <x v="4"/>
    <x v="0"/>
    <x v="0"/>
  </r>
  <r>
    <s v="Credit"/>
    <x v="123"/>
    <s v="Ground"/>
    <n v="5"/>
    <m/>
    <n v="-5"/>
    <x v="4"/>
    <x v="0"/>
    <x v="0"/>
  </r>
  <r>
    <s v="Checking"/>
    <x v="123"/>
    <s v="Village Medical"/>
    <n v="75"/>
    <m/>
    <n v="-75"/>
    <x v="19"/>
    <x v="0"/>
    <x v="0"/>
  </r>
  <r>
    <s v="Checking"/>
    <x v="123"/>
    <s v="Phone Co."/>
    <n v="40"/>
    <m/>
    <n v="-40"/>
    <x v="16"/>
    <x v="0"/>
    <x v="0"/>
  </r>
  <r>
    <s v="Checking"/>
    <x v="123"/>
    <s v="Transfer to Savings"/>
    <n v="100"/>
    <m/>
    <n v="-100"/>
    <x v="1"/>
    <x v="0"/>
    <x v="0"/>
  </r>
  <r>
    <s v="Credit"/>
    <x v="124"/>
    <s v="Sam's Gifts"/>
    <n v="49"/>
    <m/>
    <n v="-49"/>
    <x v="17"/>
    <x v="0"/>
    <x v="0"/>
  </r>
  <r>
    <s v="Credit"/>
    <x v="124"/>
    <s v="Streaming Co."/>
    <n v="35"/>
    <m/>
    <n v="-35"/>
    <x v="10"/>
    <x v="2"/>
    <x v="2"/>
  </r>
  <r>
    <s v="Credit"/>
    <x v="124"/>
    <s v="Ground"/>
    <n v="5"/>
    <m/>
    <n v="-5"/>
    <x v="4"/>
    <x v="0"/>
    <x v="0"/>
  </r>
  <r>
    <s v="Credit"/>
    <x v="125"/>
    <s v="Ground"/>
    <n v="5"/>
    <m/>
    <n v="-5"/>
    <x v="4"/>
    <x v="0"/>
    <x v="0"/>
  </r>
  <r>
    <s v="Credit"/>
    <x v="126"/>
    <s v="Ground"/>
    <n v="5"/>
    <m/>
    <n v="-5"/>
    <x v="4"/>
    <x v="0"/>
    <x v="0"/>
  </r>
  <r>
    <s v="Credit"/>
    <x v="126"/>
    <s v="Green's"/>
    <n v="174"/>
    <m/>
    <n v="-174"/>
    <x v="7"/>
    <x v="2"/>
    <x v="2"/>
  </r>
  <r>
    <s v="Credit"/>
    <x v="127"/>
    <s v="Pizza Pomodoro"/>
    <n v="41.1"/>
    <m/>
    <n v="-41.1"/>
    <x v="12"/>
    <x v="0"/>
    <x v="0"/>
  </r>
  <r>
    <s v="Credit"/>
    <x v="128"/>
    <s v="Golden Arches"/>
    <n v="16.2"/>
    <m/>
    <n v="-16.2"/>
    <x v="12"/>
    <x v="0"/>
    <x v="0"/>
  </r>
  <r>
    <s v="Checking"/>
    <x v="129"/>
    <s v="Worldvision"/>
    <n v="55"/>
    <m/>
    <n v="-55"/>
    <x v="18"/>
    <x v="0"/>
    <x v="0"/>
  </r>
  <r>
    <s v="Credit"/>
    <x v="129"/>
    <s v="Fuel. Co"/>
    <n v="67"/>
    <m/>
    <n v="-67"/>
    <x v="9"/>
    <x v="0"/>
    <x v="0"/>
  </r>
  <r>
    <s v="Credit"/>
    <x v="129"/>
    <s v="Ground"/>
    <n v="5"/>
    <m/>
    <n v="-5"/>
    <x v="4"/>
    <x v="0"/>
    <x v="0"/>
  </r>
  <r>
    <s v="Credit"/>
    <x v="130"/>
    <s v="Ground"/>
    <n v="5"/>
    <m/>
    <n v="-5"/>
    <x v="4"/>
    <x v="0"/>
    <x v="0"/>
  </r>
  <r>
    <s v="Credit"/>
    <x v="131"/>
    <s v="Ground"/>
    <n v="5"/>
    <m/>
    <n v="-5"/>
    <x v="4"/>
    <x v="0"/>
    <x v="0"/>
  </r>
  <r>
    <s v="Credit"/>
    <x v="132"/>
    <s v="Ground"/>
    <n v="5"/>
    <m/>
    <n v="-5"/>
    <x v="4"/>
    <x v="0"/>
    <x v="0"/>
  </r>
  <r>
    <s v="Credit"/>
    <x v="133"/>
    <s v="Ground"/>
    <n v="5"/>
    <m/>
    <n v="-5"/>
    <x v="4"/>
    <x v="0"/>
    <x v="0"/>
  </r>
  <r>
    <s v="Credit"/>
    <x v="133"/>
    <s v="Green's"/>
    <n v="165.8"/>
    <m/>
    <n v="-165.8"/>
    <x v="7"/>
    <x v="2"/>
    <x v="2"/>
  </r>
  <r>
    <s v="Credit"/>
    <x v="134"/>
    <s v="Ted's Trainers"/>
    <n v="128.80000000000001"/>
    <m/>
    <n v="-128.80000000000001"/>
    <x v="11"/>
    <x v="0"/>
    <x v="0"/>
  </r>
  <r>
    <s v="Credit"/>
    <x v="134"/>
    <s v="Home Decorator"/>
    <n v="235"/>
    <m/>
    <n v="-235"/>
    <x v="21"/>
    <x v="0"/>
    <x v="0"/>
  </r>
  <r>
    <s v="Credit"/>
    <x v="135"/>
    <s v="Fashionistas"/>
    <n v="149.19999999999999"/>
    <m/>
    <n v="-149.19999999999999"/>
    <x v="11"/>
    <x v="0"/>
    <x v="0"/>
  </r>
  <r>
    <s v="Credit"/>
    <x v="135"/>
    <s v="Taxi Co."/>
    <n v="27.200000000000003"/>
    <m/>
    <n v="-27.200000000000003"/>
    <x v="13"/>
    <x v="0"/>
    <x v="0"/>
  </r>
  <r>
    <s v="Credit"/>
    <x v="136"/>
    <s v="Ground"/>
    <n v="5"/>
    <m/>
    <n v="-5"/>
    <x v="4"/>
    <x v="0"/>
    <x v="0"/>
  </r>
  <r>
    <s v="Credit"/>
    <x v="137"/>
    <s v="Foodary"/>
    <n v="15"/>
    <m/>
    <n v="-15"/>
    <x v="12"/>
    <x v="0"/>
    <x v="0"/>
  </r>
  <r>
    <s v="Credit"/>
    <x v="137"/>
    <s v="Ground"/>
    <n v="5"/>
    <m/>
    <n v="-5"/>
    <x v="4"/>
    <x v="0"/>
    <x v="0"/>
  </r>
  <r>
    <s v="Checking"/>
    <x v="138"/>
    <s v="ACME Pty Ltd"/>
    <m/>
    <n v="4000"/>
    <n v="4000"/>
    <x v="3"/>
    <x v="1"/>
    <x v="1"/>
  </r>
  <r>
    <s v="Saving"/>
    <x v="138"/>
    <s v="Interest"/>
    <m/>
    <n v="40"/>
    <n v="40"/>
    <x v="0"/>
    <x v="0"/>
    <x v="0"/>
  </r>
  <r>
    <s v="Saving"/>
    <x v="138"/>
    <s v="Side Hustle"/>
    <m/>
    <n v="2576"/>
    <n v="2576"/>
    <x v="2"/>
    <x v="0"/>
    <x v="0"/>
  </r>
  <r>
    <s v="Credit"/>
    <x v="139"/>
    <s v="Ground"/>
    <n v="5"/>
    <m/>
    <n v="-5"/>
    <x v="4"/>
    <x v="0"/>
    <x v="0"/>
  </r>
  <r>
    <s v="Checking"/>
    <x v="139"/>
    <s v="Estate Mgt."/>
    <n v="900"/>
    <m/>
    <n v="-900"/>
    <x v="5"/>
    <x v="0"/>
    <x v="0"/>
  </r>
  <r>
    <s v="Checking"/>
    <x v="139"/>
    <s v="Finance Co."/>
    <n v="150"/>
    <m/>
    <n v="-150"/>
    <x v="6"/>
    <x v="0"/>
    <x v="0"/>
  </r>
  <r>
    <s v="Credit"/>
    <x v="139"/>
    <s v="Ground"/>
    <n v="5"/>
    <m/>
    <n v="-5"/>
    <x v="4"/>
    <x v="0"/>
    <x v="0"/>
  </r>
  <r>
    <s v="Credit"/>
    <x v="140"/>
    <s v="Ground"/>
    <n v="5"/>
    <m/>
    <n v="-5"/>
    <x v="4"/>
    <x v="0"/>
    <x v="0"/>
  </r>
  <r>
    <s v="Credit"/>
    <x v="141"/>
    <s v="Ground"/>
    <n v="5"/>
    <m/>
    <n v="-5"/>
    <x v="4"/>
    <x v="0"/>
    <x v="0"/>
  </r>
  <r>
    <s v="Credit"/>
    <x v="142"/>
    <s v="Ground"/>
    <n v="5"/>
    <m/>
    <n v="-5"/>
    <x v="4"/>
    <x v="0"/>
    <x v="0"/>
  </r>
  <r>
    <s v="Credit"/>
    <x v="142"/>
    <s v="Green's"/>
    <n v="119"/>
    <m/>
    <n v="-119"/>
    <x v="7"/>
    <x v="2"/>
    <x v="2"/>
  </r>
  <r>
    <s v="Checking"/>
    <x v="143"/>
    <s v="Elec. Co."/>
    <n v="55"/>
    <m/>
    <n v="-55"/>
    <x v="8"/>
    <x v="0"/>
    <x v="0"/>
  </r>
  <r>
    <s v="Credit"/>
    <x v="143"/>
    <s v="Ground"/>
    <n v="5"/>
    <m/>
    <n v="-5"/>
    <x v="4"/>
    <x v="0"/>
    <x v="0"/>
  </r>
  <r>
    <s v="Credit"/>
    <x v="144"/>
    <s v="Ground"/>
    <n v="5"/>
    <m/>
    <n v="-5"/>
    <x v="4"/>
    <x v="0"/>
    <x v="0"/>
  </r>
  <r>
    <s v="Credit"/>
    <x v="145"/>
    <s v="Fuel. Co"/>
    <n v="82.1"/>
    <m/>
    <n v="-82.1"/>
    <x v="9"/>
    <x v="0"/>
    <x v="0"/>
  </r>
  <r>
    <s v="Credit"/>
    <x v="145"/>
    <s v="Ground"/>
    <n v="5"/>
    <m/>
    <n v="-5"/>
    <x v="4"/>
    <x v="0"/>
    <x v="0"/>
  </r>
  <r>
    <s v="Checking"/>
    <x v="145"/>
    <s v="Transfer to Savings"/>
    <n v="100"/>
    <m/>
    <n v="-100"/>
    <x v="1"/>
    <x v="0"/>
    <x v="0"/>
  </r>
  <r>
    <s v="Credit"/>
    <x v="146"/>
    <s v="Ground"/>
    <n v="5"/>
    <m/>
    <n v="-5"/>
    <x v="4"/>
    <x v="0"/>
    <x v="0"/>
  </r>
  <r>
    <s v="Credit"/>
    <x v="147"/>
    <s v="Green's"/>
    <n v="140.19999999999999"/>
    <m/>
    <n v="-140.19999999999999"/>
    <x v="7"/>
    <x v="2"/>
    <x v="2"/>
  </r>
  <r>
    <s v="Credit"/>
    <x v="147"/>
    <s v="Ground"/>
    <n v="5"/>
    <m/>
    <n v="-5"/>
    <x v="4"/>
    <x v="0"/>
    <x v="0"/>
  </r>
  <r>
    <s v="Credit"/>
    <x v="148"/>
    <s v="Ground"/>
    <n v="5"/>
    <m/>
    <n v="-5"/>
    <x v="4"/>
    <x v="0"/>
    <x v="0"/>
  </r>
  <r>
    <s v="Credit"/>
    <x v="148"/>
    <s v="Event Cinemas"/>
    <n v="44.9"/>
    <m/>
    <n v="-44.9"/>
    <x v="10"/>
    <x v="2"/>
    <x v="2"/>
  </r>
  <r>
    <s v="Credit"/>
    <x v="148"/>
    <s v="Fashionistas"/>
    <n v="102.9"/>
    <m/>
    <n v="-102.9"/>
    <x v="11"/>
    <x v="0"/>
    <x v="0"/>
  </r>
  <r>
    <s v="Credit"/>
    <x v="148"/>
    <s v="Joe's Grill"/>
    <n v="56.9"/>
    <m/>
    <n v="-56.9"/>
    <x v="12"/>
    <x v="0"/>
    <x v="0"/>
  </r>
  <r>
    <s v="Credit"/>
    <x v="149"/>
    <s v="Taxi Co."/>
    <n v="33.1"/>
    <m/>
    <n v="-33.1"/>
    <x v="13"/>
    <x v="0"/>
    <x v="0"/>
  </r>
  <r>
    <s v="Checking"/>
    <x v="150"/>
    <s v="Muscle Beach"/>
    <n v="30"/>
    <m/>
    <n v="-30"/>
    <x v="14"/>
    <x v="0"/>
    <x v="0"/>
  </r>
  <r>
    <s v="Credit"/>
    <x v="150"/>
    <s v="Ground"/>
    <n v="5"/>
    <m/>
    <n v="-5"/>
    <x v="4"/>
    <x v="0"/>
    <x v="0"/>
  </r>
  <r>
    <s v="Credit"/>
    <x v="151"/>
    <s v="Ground"/>
    <n v="5"/>
    <m/>
    <n v="-5"/>
    <x v="4"/>
    <x v="0"/>
    <x v="0"/>
  </r>
  <r>
    <s v="Checking"/>
    <x v="151"/>
    <s v="Phone Co."/>
    <n v="40"/>
    <m/>
    <n v="-40"/>
    <x v="16"/>
    <x v="0"/>
    <x v="0"/>
  </r>
  <r>
    <s v="Credit"/>
    <x v="152"/>
    <s v="Sam's Gifts"/>
    <n v="50.1"/>
    <m/>
    <n v="-50.1"/>
    <x v="17"/>
    <x v="0"/>
    <x v="0"/>
  </r>
  <r>
    <s v="Credit"/>
    <x v="152"/>
    <s v="Streaming Co."/>
    <n v="35"/>
    <m/>
    <n v="-35"/>
    <x v="10"/>
    <x v="2"/>
    <x v="2"/>
  </r>
  <r>
    <s v="Credit"/>
    <x v="152"/>
    <s v="Ground"/>
    <n v="5"/>
    <m/>
    <n v="-5"/>
    <x v="4"/>
    <x v="0"/>
    <x v="0"/>
  </r>
  <r>
    <s v="Credit"/>
    <x v="153"/>
    <s v="Ground"/>
    <n v="5"/>
    <m/>
    <n v="-5"/>
    <x v="4"/>
    <x v="0"/>
    <x v="0"/>
  </r>
  <r>
    <s v="Credit"/>
    <x v="154"/>
    <s v="Ground"/>
    <n v="5"/>
    <m/>
    <n v="-5"/>
    <x v="4"/>
    <x v="0"/>
    <x v="0"/>
  </r>
  <r>
    <s v="Credit"/>
    <x v="154"/>
    <s v="Green's"/>
    <n v="234"/>
    <m/>
    <n v="-234"/>
    <x v="7"/>
    <x v="2"/>
    <x v="2"/>
  </r>
  <r>
    <s v="Credit"/>
    <x v="155"/>
    <s v="Pizza Pomodoro"/>
    <n v="42.1"/>
    <m/>
    <n v="-42.1"/>
    <x v="12"/>
    <x v="0"/>
    <x v="0"/>
  </r>
  <r>
    <s v="Credit"/>
    <x v="156"/>
    <s v="Golden Arches"/>
    <n v="17.099999999999998"/>
    <m/>
    <n v="-17.099999999999998"/>
    <x v="12"/>
    <x v="0"/>
    <x v="0"/>
  </r>
  <r>
    <s v="Checking"/>
    <x v="157"/>
    <s v="Worldvision"/>
    <n v="55"/>
    <m/>
    <n v="-55"/>
    <x v="18"/>
    <x v="0"/>
    <x v="0"/>
  </r>
  <r>
    <s v="Credit"/>
    <x v="157"/>
    <s v="Fuel. Co"/>
    <n v="67.900000000000006"/>
    <m/>
    <n v="-67.900000000000006"/>
    <x v="9"/>
    <x v="0"/>
    <x v="0"/>
  </r>
  <r>
    <s v="Credit"/>
    <x v="157"/>
    <s v="Ground"/>
    <n v="5"/>
    <m/>
    <n v="-5"/>
    <x v="4"/>
    <x v="0"/>
    <x v="0"/>
  </r>
  <r>
    <s v="Credit"/>
    <x v="158"/>
    <s v="Ground"/>
    <n v="5"/>
    <m/>
    <n v="-5"/>
    <x v="4"/>
    <x v="0"/>
    <x v="0"/>
  </r>
  <r>
    <s v="Credit"/>
    <x v="159"/>
    <s v="Ground"/>
    <n v="5"/>
    <m/>
    <n v="-5"/>
    <x v="4"/>
    <x v="0"/>
    <x v="0"/>
  </r>
  <r>
    <s v="Credit"/>
    <x v="160"/>
    <s v="Ground"/>
    <n v="5"/>
    <m/>
    <n v="-5"/>
    <x v="4"/>
    <x v="0"/>
    <x v="0"/>
  </r>
  <r>
    <s v="Credit"/>
    <x v="161"/>
    <s v="Ground"/>
    <n v="5"/>
    <m/>
    <n v="-5"/>
    <x v="4"/>
    <x v="0"/>
    <x v="0"/>
  </r>
  <r>
    <s v="Credit"/>
    <x v="161"/>
    <s v="Green's"/>
    <n v="166.9"/>
    <m/>
    <n v="-166.9"/>
    <x v="7"/>
    <x v="2"/>
    <x v="2"/>
  </r>
  <r>
    <s v="Credit"/>
    <x v="162"/>
    <s v="Ted's Trainers"/>
    <n v="129.9"/>
    <m/>
    <n v="-129.9"/>
    <x v="11"/>
    <x v="0"/>
    <x v="0"/>
  </r>
  <r>
    <s v="Credit"/>
    <x v="162"/>
    <s v="Ticketek"/>
    <n v="180.29999999999998"/>
    <m/>
    <n v="-180.29999999999998"/>
    <x v="10"/>
    <x v="2"/>
    <x v="2"/>
  </r>
  <r>
    <s v="Credit"/>
    <x v="163"/>
    <s v="Fashionistas"/>
    <n v="150.1"/>
    <m/>
    <n v="-150.1"/>
    <x v="11"/>
    <x v="0"/>
    <x v="0"/>
  </r>
  <r>
    <s v="Credit"/>
    <x v="163"/>
    <s v="Taxi Co."/>
    <n v="28.200000000000003"/>
    <m/>
    <n v="-28.200000000000003"/>
    <x v="13"/>
    <x v="0"/>
    <x v="0"/>
  </r>
  <r>
    <s v="Credit"/>
    <x v="163"/>
    <s v="Foodary"/>
    <n v="15"/>
    <m/>
    <n v="-15"/>
    <x v="12"/>
    <x v="0"/>
    <x v="0"/>
  </r>
  <r>
    <s v="Credit"/>
    <x v="164"/>
    <s v="Ground"/>
    <n v="5"/>
    <m/>
    <n v="-5"/>
    <x v="4"/>
    <x v="0"/>
    <x v="0"/>
  </r>
  <r>
    <s v="Credit"/>
    <x v="165"/>
    <s v="Ground"/>
    <n v="5"/>
    <m/>
    <n v="-5"/>
    <x v="4"/>
    <x v="0"/>
    <x v="0"/>
  </r>
  <r>
    <s v="Checking"/>
    <x v="166"/>
    <s v="ACME Pty Ltd"/>
    <m/>
    <n v="4000"/>
    <n v="4000"/>
    <x v="3"/>
    <x v="1"/>
    <x v="1"/>
  </r>
  <r>
    <s v="Checking"/>
    <x v="166"/>
    <s v="Transfer to Savings"/>
    <n v="100"/>
    <m/>
    <n v="-100"/>
    <x v="1"/>
    <x v="0"/>
    <x v="0"/>
  </r>
  <r>
    <s v="Saving"/>
    <x v="166"/>
    <s v="Interest"/>
    <m/>
    <n v="41"/>
    <n v="41"/>
    <x v="0"/>
    <x v="0"/>
    <x v="0"/>
  </r>
  <r>
    <s v="Saving"/>
    <x v="166"/>
    <s v="Side Hustle"/>
    <m/>
    <n v="2301"/>
    <n v="2301"/>
    <x v="2"/>
    <x v="0"/>
    <x v="0"/>
  </r>
  <r>
    <s v="Credit"/>
    <x v="167"/>
    <s v="Ground"/>
    <n v="5"/>
    <m/>
    <n v="-5"/>
    <x v="4"/>
    <x v="0"/>
    <x v="0"/>
  </r>
  <r>
    <s v="Checking"/>
    <x v="168"/>
    <s v="Estate Mgt."/>
    <n v="900"/>
    <m/>
    <n v="-900"/>
    <x v="5"/>
    <x v="0"/>
    <x v="0"/>
  </r>
  <r>
    <s v="Checking"/>
    <x v="168"/>
    <s v="Finance Co."/>
    <n v="150"/>
    <m/>
    <n v="-150"/>
    <x v="6"/>
    <x v="0"/>
    <x v="0"/>
  </r>
  <r>
    <s v="Credit"/>
    <x v="168"/>
    <s v="Fodary"/>
    <n v="15"/>
    <m/>
    <n v="-15"/>
    <x v="12"/>
    <x v="0"/>
    <x v="0"/>
  </r>
  <r>
    <s v="Credit"/>
    <x v="168"/>
    <s v="Ground"/>
    <n v="5"/>
    <m/>
    <n v="-5"/>
    <x v="4"/>
    <x v="0"/>
    <x v="0"/>
  </r>
  <r>
    <s v="Credit"/>
    <x v="169"/>
    <s v="Ground"/>
    <n v="5"/>
    <m/>
    <n v="-5"/>
    <x v="4"/>
    <x v="0"/>
    <x v="0"/>
  </r>
  <r>
    <s v="Credit"/>
    <x v="170"/>
    <s v="Ground"/>
    <n v="5"/>
    <m/>
    <n v="-5"/>
    <x v="4"/>
    <x v="0"/>
    <x v="0"/>
  </r>
  <r>
    <s v="Credit"/>
    <x v="170"/>
    <s v="Green's"/>
    <n v="180"/>
    <m/>
    <n v="-180"/>
    <x v="7"/>
    <x v="2"/>
    <x v="2"/>
  </r>
  <r>
    <s v="Checking"/>
    <x v="171"/>
    <s v="Elec. Co."/>
    <n v="56.1"/>
    <m/>
    <n v="-56.1"/>
    <x v="8"/>
    <x v="0"/>
    <x v="0"/>
  </r>
  <r>
    <s v="Credit"/>
    <x v="171"/>
    <s v="Ground"/>
    <n v="5"/>
    <m/>
    <n v="-5"/>
    <x v="4"/>
    <x v="0"/>
    <x v="0"/>
  </r>
  <r>
    <s v="Credit"/>
    <x v="172"/>
    <s v="Ground"/>
    <n v="5"/>
    <m/>
    <n v="-5"/>
    <x v="4"/>
    <x v="0"/>
    <x v="0"/>
  </r>
  <r>
    <s v="Credit"/>
    <x v="173"/>
    <s v="Fuel. Co"/>
    <n v="83.1"/>
    <m/>
    <n v="-83.1"/>
    <x v="9"/>
    <x v="0"/>
    <x v="0"/>
  </r>
  <r>
    <s v="Credit"/>
    <x v="173"/>
    <s v="Ground"/>
    <n v="5"/>
    <m/>
    <n v="-5"/>
    <x v="4"/>
    <x v="0"/>
    <x v="0"/>
  </r>
  <r>
    <s v="Credit"/>
    <x v="174"/>
    <s v="Ground"/>
    <n v="5"/>
    <m/>
    <n v="-5"/>
    <x v="4"/>
    <x v="0"/>
    <x v="0"/>
  </r>
  <r>
    <s v="Credit"/>
    <x v="175"/>
    <s v="Green's"/>
    <n v="141.1"/>
    <m/>
    <n v="-141.1"/>
    <x v="7"/>
    <x v="2"/>
    <x v="2"/>
  </r>
  <r>
    <s v="Credit"/>
    <x v="175"/>
    <s v="Ground"/>
    <n v="5"/>
    <m/>
    <n v="-5"/>
    <x v="4"/>
    <x v="0"/>
    <x v="0"/>
  </r>
  <r>
    <s v="Credit"/>
    <x v="176"/>
    <s v="Ground"/>
    <n v="5"/>
    <m/>
    <n v="-5"/>
    <x v="4"/>
    <x v="0"/>
    <x v="0"/>
  </r>
  <r>
    <s v="Credit"/>
    <x v="176"/>
    <s v="Event Cinemas"/>
    <n v="45.8"/>
    <m/>
    <n v="-45.8"/>
    <x v="10"/>
    <x v="2"/>
    <x v="2"/>
  </r>
  <r>
    <s v="Credit"/>
    <x v="176"/>
    <s v="Fashionistas"/>
    <n v="103.80000000000001"/>
    <m/>
    <n v="-103.80000000000001"/>
    <x v="11"/>
    <x v="0"/>
    <x v="0"/>
  </r>
  <r>
    <s v="Credit"/>
    <x v="176"/>
    <s v="Joe's Grill"/>
    <n v="58"/>
    <m/>
    <n v="-58"/>
    <x v="12"/>
    <x v="0"/>
    <x v="0"/>
  </r>
  <r>
    <s v="Credit"/>
    <x v="177"/>
    <s v="Taxi Co."/>
    <n v="34.200000000000003"/>
    <m/>
    <n v="-34.200000000000003"/>
    <x v="13"/>
    <x v="0"/>
    <x v="0"/>
  </r>
  <r>
    <s v="Checking"/>
    <x v="178"/>
    <s v="Muscle Beach"/>
    <n v="30"/>
    <m/>
    <n v="-30"/>
    <x v="14"/>
    <x v="0"/>
    <x v="0"/>
  </r>
  <r>
    <s v="Credit"/>
    <x v="178"/>
    <s v="Ground"/>
    <n v="5"/>
    <m/>
    <n v="-5"/>
    <x v="4"/>
    <x v="0"/>
    <x v="0"/>
  </r>
  <r>
    <s v="Credit"/>
    <x v="179"/>
    <s v="Ground"/>
    <n v="5"/>
    <m/>
    <n v="-5"/>
    <x v="4"/>
    <x v="0"/>
    <x v="0"/>
  </r>
  <r>
    <s v="Checking"/>
    <x v="179"/>
    <s v="Phone Co."/>
    <n v="40"/>
    <m/>
    <n v="-40"/>
    <x v="16"/>
    <x v="0"/>
    <x v="0"/>
  </r>
  <r>
    <s v="Credit"/>
    <x v="180"/>
    <s v="Sam's Gifts"/>
    <n v="51.1"/>
    <m/>
    <n v="-51.1"/>
    <x v="17"/>
    <x v="0"/>
    <x v="0"/>
  </r>
  <r>
    <s v="Credit"/>
    <x v="180"/>
    <s v="Streaming Co."/>
    <n v="35"/>
    <m/>
    <n v="-35"/>
    <x v="10"/>
    <x v="2"/>
    <x v="2"/>
  </r>
  <r>
    <s v="Credit"/>
    <x v="180"/>
    <s v="Ground"/>
    <n v="5"/>
    <m/>
    <n v="-5"/>
    <x v="4"/>
    <x v="0"/>
    <x v="0"/>
  </r>
  <r>
    <s v="Credit"/>
    <x v="181"/>
    <s v="Ground"/>
    <n v="5"/>
    <m/>
    <n v="-5"/>
    <x v="4"/>
    <x v="0"/>
    <x v="0"/>
  </r>
  <r>
    <s v="Credit"/>
    <x v="182"/>
    <s v="Ground"/>
    <n v="5"/>
    <m/>
    <n v="-5"/>
    <x v="4"/>
    <x v="0"/>
    <x v="0"/>
  </r>
  <r>
    <s v="Credit"/>
    <x v="182"/>
    <s v="Green's"/>
    <n v="176"/>
    <m/>
    <n v="-176"/>
    <x v="7"/>
    <x v="2"/>
    <x v="2"/>
  </r>
  <r>
    <s v="Credit"/>
    <x v="183"/>
    <s v="Pizza Pomodoro"/>
    <n v="43.1"/>
    <m/>
    <n v="-43.1"/>
    <x v="12"/>
    <x v="0"/>
    <x v="0"/>
  </r>
  <r>
    <s v="Credit"/>
    <x v="184"/>
    <s v="Golden Arches"/>
    <n v="18.2"/>
    <m/>
    <n v="-18.2"/>
    <x v="12"/>
    <x v="0"/>
    <x v="0"/>
  </r>
  <r>
    <s v="Checking"/>
    <x v="185"/>
    <s v="Worldvision"/>
    <n v="55"/>
    <m/>
    <n v="-55"/>
    <x v="18"/>
    <x v="0"/>
    <x v="0"/>
  </r>
  <r>
    <s v="Credit"/>
    <x v="185"/>
    <s v="Fuel. Co"/>
    <n v="68.800000000000011"/>
    <m/>
    <n v="-68.800000000000011"/>
    <x v="9"/>
    <x v="0"/>
    <x v="0"/>
  </r>
  <r>
    <s v="Credit"/>
    <x v="185"/>
    <s v="Ground"/>
    <n v="5"/>
    <m/>
    <n v="-5"/>
    <x v="4"/>
    <x v="0"/>
    <x v="0"/>
  </r>
  <r>
    <s v="Credit"/>
    <x v="186"/>
    <s v="Ground"/>
    <n v="5"/>
    <m/>
    <n v="-5"/>
    <x v="4"/>
    <x v="0"/>
    <x v="0"/>
  </r>
  <r>
    <s v="Credit"/>
    <x v="187"/>
    <s v="Ground"/>
    <n v="5"/>
    <m/>
    <n v="-5"/>
    <x v="4"/>
    <x v="0"/>
    <x v="0"/>
  </r>
  <r>
    <s v="Credit"/>
    <x v="188"/>
    <s v="Ground"/>
    <n v="5"/>
    <m/>
    <n v="-5"/>
    <x v="4"/>
    <x v="0"/>
    <x v="0"/>
  </r>
  <r>
    <s v="Credit"/>
    <x v="189"/>
    <s v="Ground"/>
    <n v="5"/>
    <m/>
    <n v="-5"/>
    <x v="4"/>
    <x v="0"/>
    <x v="0"/>
  </r>
  <r>
    <s v="Credit"/>
    <x v="189"/>
    <s v="Green's"/>
    <n v="193"/>
    <m/>
    <n v="-193"/>
    <x v="7"/>
    <x v="2"/>
    <x v="2"/>
  </r>
  <r>
    <s v="Credit"/>
    <x v="190"/>
    <s v="Ted's Trainers"/>
    <n v="130.80000000000001"/>
    <m/>
    <n v="-130.80000000000001"/>
    <x v="11"/>
    <x v="0"/>
    <x v="0"/>
  </r>
  <r>
    <s v="Credit"/>
    <x v="190"/>
    <s v="Home Decorator"/>
    <n v="181.39999999999998"/>
    <m/>
    <n v="-181.39999999999998"/>
    <x v="21"/>
    <x v="0"/>
    <x v="0"/>
  </r>
  <r>
    <s v="Credit"/>
    <x v="191"/>
    <s v="Fashionistas"/>
    <n v="151.19999999999999"/>
    <m/>
    <n v="-151.19999999999999"/>
    <x v="11"/>
    <x v="0"/>
    <x v="0"/>
  </r>
  <r>
    <s v="Credit"/>
    <x v="191"/>
    <s v="Taxi Co."/>
    <n v="29.300000000000004"/>
    <m/>
    <n v="-29.300000000000004"/>
    <x v="13"/>
    <x v="0"/>
    <x v="0"/>
  </r>
  <r>
    <s v="Credit"/>
    <x v="191"/>
    <s v="Foodary"/>
    <n v="15"/>
    <m/>
    <n v="-15"/>
    <x v="12"/>
    <x v="0"/>
    <x v="0"/>
  </r>
  <r>
    <s v="Credit"/>
    <x v="192"/>
    <s v="Ground"/>
    <n v="5"/>
    <m/>
    <n v="-5"/>
    <x v="4"/>
    <x v="0"/>
    <x v="0"/>
  </r>
  <r>
    <s v="Credit"/>
    <x v="193"/>
    <s v="Ground"/>
    <n v="5"/>
    <m/>
    <n v="-5"/>
    <x v="4"/>
    <x v="0"/>
    <x v="0"/>
  </r>
  <r>
    <s v="Checking"/>
    <x v="193"/>
    <s v="ACME Pty Ltd"/>
    <m/>
    <n v="4000"/>
    <n v="4000"/>
    <x v="3"/>
    <x v="1"/>
    <x v="1"/>
  </r>
  <r>
    <s v="Saving"/>
    <x v="193"/>
    <s v="Interest"/>
    <m/>
    <n v="42"/>
    <n v="42"/>
    <x v="0"/>
    <x v="0"/>
    <x v="0"/>
  </r>
  <r>
    <s v="Saving"/>
    <x v="193"/>
    <s v="Side Hustle"/>
    <m/>
    <n v="2815"/>
    <n v="2815"/>
    <x v="2"/>
    <x v="0"/>
    <x v="0"/>
  </r>
  <r>
    <s v="Credit"/>
    <x v="194"/>
    <s v="Ground"/>
    <n v="5"/>
    <m/>
    <n v="-5"/>
    <x v="4"/>
    <x v="0"/>
    <x v="0"/>
  </r>
  <r>
    <s v="Checking"/>
    <x v="195"/>
    <s v="Estate Mgt."/>
    <n v="900"/>
    <m/>
    <n v="-900"/>
    <x v="5"/>
    <x v="0"/>
    <x v="0"/>
  </r>
  <r>
    <s v="Checking"/>
    <x v="195"/>
    <s v="Finance Co."/>
    <n v="150"/>
    <m/>
    <n v="-150"/>
    <x v="6"/>
    <x v="0"/>
    <x v="0"/>
  </r>
  <r>
    <s v="Credit"/>
    <x v="195"/>
    <s v="Ground"/>
    <n v="5"/>
    <m/>
    <n v="-5"/>
    <x v="4"/>
    <x v="0"/>
    <x v="0"/>
  </r>
  <r>
    <s v="Credit"/>
    <x v="195"/>
    <s v="Ground"/>
    <n v="5"/>
    <m/>
    <n v="-5"/>
    <x v="4"/>
    <x v="0"/>
    <x v="0"/>
  </r>
  <r>
    <s v="Credit"/>
    <x v="196"/>
    <s v="Ground"/>
    <n v="5"/>
    <m/>
    <n v="-5"/>
    <x v="4"/>
    <x v="0"/>
    <x v="0"/>
  </r>
  <r>
    <s v="Credit"/>
    <x v="197"/>
    <s v="Ground"/>
    <n v="5"/>
    <m/>
    <n v="-5"/>
    <x v="4"/>
    <x v="0"/>
    <x v="0"/>
  </r>
  <r>
    <s v="Credit"/>
    <x v="197"/>
    <s v="Green's"/>
    <n v="137"/>
    <m/>
    <n v="-137"/>
    <x v="7"/>
    <x v="2"/>
    <x v="2"/>
  </r>
  <r>
    <s v="Checking"/>
    <x v="198"/>
    <s v="Elec. Co."/>
    <n v="57"/>
    <m/>
    <n v="-57"/>
    <x v="8"/>
    <x v="0"/>
    <x v="0"/>
  </r>
  <r>
    <s v="Credit"/>
    <x v="198"/>
    <s v="Ground"/>
    <n v="5"/>
    <m/>
    <n v="-5"/>
    <x v="4"/>
    <x v="0"/>
    <x v="0"/>
  </r>
  <r>
    <s v="Credit"/>
    <x v="199"/>
    <s v="Ground"/>
    <n v="5"/>
    <m/>
    <n v="-5"/>
    <x v="4"/>
    <x v="0"/>
    <x v="0"/>
  </r>
  <r>
    <s v="Credit"/>
    <x v="200"/>
    <s v="Fuel. Co"/>
    <n v="84.199999999999989"/>
    <m/>
    <n v="-84.199999999999989"/>
    <x v="9"/>
    <x v="0"/>
    <x v="0"/>
  </r>
  <r>
    <s v="Credit"/>
    <x v="200"/>
    <s v="Ground"/>
    <n v="5"/>
    <m/>
    <n v="-5"/>
    <x v="4"/>
    <x v="0"/>
    <x v="0"/>
  </r>
  <r>
    <s v="Credit"/>
    <x v="201"/>
    <s v="Ground"/>
    <n v="5"/>
    <m/>
    <n v="-5"/>
    <x v="4"/>
    <x v="0"/>
    <x v="0"/>
  </r>
  <r>
    <s v="Credit"/>
    <x v="202"/>
    <s v="Green's"/>
    <n v="142.1"/>
    <m/>
    <n v="-142.1"/>
    <x v="7"/>
    <x v="2"/>
    <x v="2"/>
  </r>
  <r>
    <s v="Credit"/>
    <x v="202"/>
    <s v="Ground"/>
    <n v="5"/>
    <m/>
    <n v="-5"/>
    <x v="4"/>
    <x v="0"/>
    <x v="0"/>
  </r>
  <r>
    <s v="Credit"/>
    <x v="203"/>
    <s v="Ground"/>
    <n v="5"/>
    <m/>
    <n v="-5"/>
    <x v="4"/>
    <x v="0"/>
    <x v="0"/>
  </r>
  <r>
    <s v="Credit"/>
    <x v="203"/>
    <s v="Event Cinemas"/>
    <n v="46.8"/>
    <m/>
    <n v="-46.8"/>
    <x v="10"/>
    <x v="2"/>
    <x v="2"/>
  </r>
  <r>
    <s v="Credit"/>
    <x v="203"/>
    <s v="Fashionistas"/>
    <n v="104.70000000000002"/>
    <m/>
    <n v="-104.70000000000002"/>
    <x v="11"/>
    <x v="0"/>
    <x v="0"/>
  </r>
  <r>
    <s v="Credit"/>
    <x v="203"/>
    <s v="Joe's Grill"/>
    <n v="59.1"/>
    <m/>
    <n v="-59.1"/>
    <x v="12"/>
    <x v="0"/>
    <x v="0"/>
  </r>
  <r>
    <s v="Credit"/>
    <x v="204"/>
    <s v="Taxi Co."/>
    <n v="35.1"/>
    <m/>
    <n v="-35.1"/>
    <x v="13"/>
    <x v="0"/>
    <x v="0"/>
  </r>
  <r>
    <s v="Checking"/>
    <x v="205"/>
    <s v="Muscle Beach"/>
    <n v="30"/>
    <m/>
    <n v="-30"/>
    <x v="14"/>
    <x v="0"/>
    <x v="0"/>
  </r>
  <r>
    <s v="Credit"/>
    <x v="205"/>
    <s v="Ground"/>
    <n v="5"/>
    <m/>
    <n v="-5"/>
    <x v="4"/>
    <x v="0"/>
    <x v="0"/>
  </r>
  <r>
    <s v="Credit"/>
    <x v="206"/>
    <s v="Ground"/>
    <n v="5"/>
    <m/>
    <n v="-5"/>
    <x v="4"/>
    <x v="0"/>
    <x v="0"/>
  </r>
  <r>
    <s v="Checking"/>
    <x v="206"/>
    <s v="Phone Co."/>
    <n v="40"/>
    <m/>
    <n v="-40"/>
    <x v="16"/>
    <x v="0"/>
    <x v="0"/>
  </r>
  <r>
    <s v="Credit"/>
    <x v="207"/>
    <s v="Sam's Gifts"/>
    <n v="52.1"/>
    <m/>
    <n v="-52.1"/>
    <x v="17"/>
    <x v="0"/>
    <x v="0"/>
  </r>
  <r>
    <s v="Credit"/>
    <x v="207"/>
    <s v="Streaming Co."/>
    <n v="35"/>
    <m/>
    <n v="-35"/>
    <x v="10"/>
    <x v="2"/>
    <x v="2"/>
  </r>
  <r>
    <s v="Credit"/>
    <x v="207"/>
    <s v="Ground"/>
    <n v="5"/>
    <m/>
    <n v="-5"/>
    <x v="4"/>
    <x v="0"/>
    <x v="0"/>
  </r>
  <r>
    <s v="Credit"/>
    <x v="208"/>
    <s v="Ground"/>
    <n v="5"/>
    <m/>
    <n v="-5"/>
    <x v="4"/>
    <x v="0"/>
    <x v="0"/>
  </r>
  <r>
    <s v="Credit"/>
    <x v="209"/>
    <s v="Ground"/>
    <n v="5"/>
    <m/>
    <n v="-5"/>
    <x v="4"/>
    <x v="0"/>
    <x v="0"/>
  </r>
  <r>
    <s v="Credit"/>
    <x v="209"/>
    <s v="Green's"/>
    <n v="177"/>
    <m/>
    <n v="-177"/>
    <x v="7"/>
    <x v="2"/>
    <x v="2"/>
  </r>
  <r>
    <s v="Credit"/>
    <x v="210"/>
    <s v="Pizza Pomodoro"/>
    <n v="44.2"/>
    <m/>
    <n v="-44.2"/>
    <x v="12"/>
    <x v="0"/>
    <x v="0"/>
  </r>
  <r>
    <s v="Credit"/>
    <x v="211"/>
    <s v="Golden Arches"/>
    <n v="19.2"/>
    <m/>
    <n v="-19.2"/>
    <x v="12"/>
    <x v="0"/>
    <x v="0"/>
  </r>
  <r>
    <s v="Checking"/>
    <x v="212"/>
    <s v="Worldvision"/>
    <n v="55"/>
    <m/>
    <n v="-55"/>
    <x v="18"/>
    <x v="0"/>
    <x v="0"/>
  </r>
  <r>
    <s v="Credit"/>
    <x v="212"/>
    <s v="Fuel. Co"/>
    <n v="69.700000000000017"/>
    <m/>
    <n v="-69.700000000000017"/>
    <x v="9"/>
    <x v="0"/>
    <x v="0"/>
  </r>
  <r>
    <s v="Credit"/>
    <x v="212"/>
    <s v="Ground"/>
    <n v="5"/>
    <m/>
    <n v="-5"/>
    <x v="4"/>
    <x v="0"/>
    <x v="0"/>
  </r>
  <r>
    <s v="Credit"/>
    <x v="213"/>
    <s v="Ground"/>
    <n v="5"/>
    <m/>
    <n v="-5"/>
    <x v="4"/>
    <x v="0"/>
    <x v="0"/>
  </r>
  <r>
    <s v="Credit"/>
    <x v="214"/>
    <s v="Ground"/>
    <n v="5"/>
    <m/>
    <n v="-5"/>
    <x v="4"/>
    <x v="0"/>
    <x v="0"/>
  </r>
  <r>
    <s v="Credit"/>
    <x v="215"/>
    <s v="Ground"/>
    <n v="5"/>
    <m/>
    <n v="-5"/>
    <x v="4"/>
    <x v="0"/>
    <x v="0"/>
  </r>
  <r>
    <s v="Credit"/>
    <x v="216"/>
    <s v="Ground"/>
    <n v="5"/>
    <m/>
    <n v="-5"/>
    <x v="4"/>
    <x v="0"/>
    <x v="0"/>
  </r>
  <r>
    <s v="Credit"/>
    <x v="216"/>
    <s v="Green's"/>
    <n v="117"/>
    <m/>
    <n v="-117"/>
    <x v="7"/>
    <x v="2"/>
    <x v="2"/>
  </r>
  <r>
    <s v="Credit"/>
    <x v="217"/>
    <s v="Ted's Trainers"/>
    <n v="131.9"/>
    <m/>
    <n v="-131.9"/>
    <x v="11"/>
    <x v="0"/>
    <x v="0"/>
  </r>
  <r>
    <s v="Credit"/>
    <x v="217"/>
    <s v="Ticketek"/>
    <n v="182.39999999999998"/>
    <m/>
    <n v="-182.39999999999998"/>
    <x v="10"/>
    <x v="2"/>
    <x v="2"/>
  </r>
  <r>
    <s v="Credit"/>
    <x v="218"/>
    <s v="Fashionistas"/>
    <n v="152.29999999999998"/>
    <m/>
    <n v="-152.29999999999998"/>
    <x v="11"/>
    <x v="0"/>
    <x v="0"/>
  </r>
  <r>
    <s v="Credit"/>
    <x v="218"/>
    <s v="Taxi Co."/>
    <n v="30.300000000000004"/>
    <m/>
    <n v="-30.300000000000004"/>
    <x v="13"/>
    <x v="0"/>
    <x v="0"/>
  </r>
  <r>
    <s v="Credit"/>
    <x v="218"/>
    <s v="Foodary"/>
    <n v="15"/>
    <m/>
    <n v="-15"/>
    <x v="12"/>
    <x v="0"/>
    <x v="0"/>
  </r>
  <r>
    <s v="Credit"/>
    <x v="219"/>
    <s v="Ground"/>
    <n v="5"/>
    <m/>
    <n v="-5"/>
    <x v="4"/>
    <x v="0"/>
    <x v="0"/>
  </r>
  <r>
    <s v="Credit"/>
    <x v="220"/>
    <s v="Ground"/>
    <n v="5"/>
    <m/>
    <n v="-5"/>
    <x v="4"/>
    <x v="0"/>
    <x v="0"/>
  </r>
  <r>
    <s v="Checking"/>
    <x v="220"/>
    <s v="ACME Pty Ltd"/>
    <m/>
    <n v="4000"/>
    <n v="4000"/>
    <x v="3"/>
    <x v="1"/>
    <x v="1"/>
  </r>
  <r>
    <s v="Saving"/>
    <x v="220"/>
    <s v="Interest"/>
    <m/>
    <n v="43"/>
    <n v="43"/>
    <x v="0"/>
    <x v="0"/>
    <x v="0"/>
  </r>
  <r>
    <s v="Saving"/>
    <x v="220"/>
    <s v="Side Hustle"/>
    <m/>
    <n v="1484"/>
    <n v="1484"/>
    <x v="2"/>
    <x v="0"/>
    <x v="0"/>
  </r>
  <r>
    <s v="Credit"/>
    <x v="221"/>
    <s v="Ground"/>
    <n v="5"/>
    <m/>
    <n v="-5"/>
    <x v="4"/>
    <x v="0"/>
    <x v="0"/>
  </r>
  <r>
    <s v="Checking"/>
    <x v="222"/>
    <s v="Estate Mgt."/>
    <n v="900"/>
    <m/>
    <n v="-900"/>
    <x v="5"/>
    <x v="0"/>
    <x v="0"/>
  </r>
  <r>
    <s v="Checking"/>
    <x v="222"/>
    <s v="Finance Co."/>
    <n v="150"/>
    <m/>
    <n v="-150"/>
    <x v="6"/>
    <x v="0"/>
    <x v="0"/>
  </r>
  <r>
    <s v="Credit"/>
    <x v="222"/>
    <s v="Ground"/>
    <n v="5"/>
    <m/>
    <n v="-5"/>
    <x v="4"/>
    <x v="0"/>
    <x v="0"/>
  </r>
  <r>
    <s v="Credit"/>
    <x v="222"/>
    <s v="Ground"/>
    <n v="5"/>
    <m/>
    <n v="-5"/>
    <x v="4"/>
    <x v="0"/>
    <x v="0"/>
  </r>
  <r>
    <s v="Credit"/>
    <x v="223"/>
    <s v="Ground"/>
    <n v="5"/>
    <m/>
    <n v="-5"/>
    <x v="4"/>
    <x v="0"/>
    <x v="0"/>
  </r>
  <r>
    <s v="Checking"/>
    <x v="223"/>
    <s v="Transfer to Savings"/>
    <n v="100"/>
    <m/>
    <n v="-100"/>
    <x v="1"/>
    <x v="0"/>
    <x v="0"/>
  </r>
  <r>
    <s v="Credit"/>
    <x v="224"/>
    <s v="Ground"/>
    <n v="5"/>
    <m/>
    <n v="-5"/>
    <x v="4"/>
    <x v="0"/>
    <x v="0"/>
  </r>
  <r>
    <s v="Credit"/>
    <x v="224"/>
    <s v="Green's"/>
    <n v="163.39999999999998"/>
    <m/>
    <n v="-163.39999999999998"/>
    <x v="7"/>
    <x v="2"/>
    <x v="2"/>
  </r>
  <r>
    <s v="Checking"/>
    <x v="225"/>
    <s v="Elec. Co."/>
    <n v="58.1"/>
    <m/>
    <n v="-58.1"/>
    <x v="8"/>
    <x v="0"/>
    <x v="0"/>
  </r>
  <r>
    <s v="Credit"/>
    <x v="225"/>
    <s v="Ground"/>
    <n v="5"/>
    <m/>
    <n v="-5"/>
    <x v="4"/>
    <x v="0"/>
    <x v="0"/>
  </r>
  <r>
    <s v="Credit"/>
    <x v="226"/>
    <s v="Ground"/>
    <n v="5"/>
    <m/>
    <n v="-5"/>
    <x v="4"/>
    <x v="0"/>
    <x v="0"/>
  </r>
  <r>
    <s v="Credit"/>
    <x v="227"/>
    <s v="Fuel. Co"/>
    <n v="85.299999999999983"/>
    <m/>
    <n v="-85.299999999999983"/>
    <x v="9"/>
    <x v="0"/>
    <x v="0"/>
  </r>
  <r>
    <s v="Credit"/>
    <x v="227"/>
    <s v="Ground"/>
    <n v="5"/>
    <m/>
    <n v="-5"/>
    <x v="4"/>
    <x v="0"/>
    <x v="0"/>
  </r>
  <r>
    <s v="Credit"/>
    <x v="228"/>
    <s v="Ground"/>
    <n v="5"/>
    <m/>
    <n v="-5"/>
    <x v="4"/>
    <x v="0"/>
    <x v="0"/>
  </r>
  <r>
    <s v="Credit"/>
    <x v="229"/>
    <s v="Green's"/>
    <n v="143"/>
    <m/>
    <n v="-143"/>
    <x v="7"/>
    <x v="2"/>
    <x v="2"/>
  </r>
  <r>
    <s v="Credit"/>
    <x v="229"/>
    <s v="Ground"/>
    <n v="5"/>
    <m/>
    <n v="-5"/>
    <x v="4"/>
    <x v="0"/>
    <x v="0"/>
  </r>
  <r>
    <s v="Credit"/>
    <x v="230"/>
    <s v="Ground"/>
    <n v="5"/>
    <m/>
    <n v="-5"/>
    <x v="4"/>
    <x v="0"/>
    <x v="0"/>
  </r>
  <r>
    <s v="Credit"/>
    <x v="230"/>
    <s v="Event Cinemas"/>
    <n v="47.8"/>
    <m/>
    <n v="-47.8"/>
    <x v="10"/>
    <x v="2"/>
    <x v="2"/>
  </r>
  <r>
    <s v="Credit"/>
    <x v="230"/>
    <s v="Fashionistas"/>
    <n v="105.80000000000001"/>
    <m/>
    <n v="-105.80000000000001"/>
    <x v="11"/>
    <x v="0"/>
    <x v="0"/>
  </r>
  <r>
    <s v="Credit"/>
    <x v="230"/>
    <s v="Joe's Grill"/>
    <n v="60.1"/>
    <m/>
    <n v="-60.1"/>
    <x v="12"/>
    <x v="0"/>
    <x v="0"/>
  </r>
  <r>
    <s v="Credit"/>
    <x v="231"/>
    <s v="Taxi Co."/>
    <n v="36.200000000000003"/>
    <m/>
    <n v="-36.200000000000003"/>
    <x v="13"/>
    <x v="0"/>
    <x v="0"/>
  </r>
  <r>
    <s v="Checking"/>
    <x v="232"/>
    <s v="Muscle Beach"/>
    <n v="30"/>
    <m/>
    <n v="-30"/>
    <x v="14"/>
    <x v="0"/>
    <x v="0"/>
  </r>
  <r>
    <s v="Credit"/>
    <x v="232"/>
    <s v="Ground"/>
    <n v="5"/>
    <m/>
    <n v="-5"/>
    <x v="4"/>
    <x v="0"/>
    <x v="0"/>
  </r>
  <r>
    <s v="Credit"/>
    <x v="233"/>
    <s v="Ground"/>
    <n v="5"/>
    <m/>
    <n v="-5"/>
    <x v="4"/>
    <x v="0"/>
    <x v="0"/>
  </r>
  <r>
    <s v="Checking"/>
    <x v="233"/>
    <s v="Phone Co."/>
    <n v="40"/>
    <m/>
    <n v="-40"/>
    <x v="16"/>
    <x v="0"/>
    <x v="0"/>
  </r>
  <r>
    <s v="Credit"/>
    <x v="234"/>
    <s v="Sam's Gifts"/>
    <n v="53"/>
    <m/>
    <n v="-53"/>
    <x v="17"/>
    <x v="0"/>
    <x v="0"/>
  </r>
  <r>
    <s v="Credit"/>
    <x v="234"/>
    <s v="Streaming Co."/>
    <n v="35"/>
    <m/>
    <n v="-35"/>
    <x v="10"/>
    <x v="2"/>
    <x v="2"/>
  </r>
  <r>
    <s v="Credit"/>
    <x v="234"/>
    <s v="Ground"/>
    <n v="5"/>
    <m/>
    <n v="-5"/>
    <x v="4"/>
    <x v="0"/>
    <x v="0"/>
  </r>
  <r>
    <s v="Credit"/>
    <x v="235"/>
    <s v="Ground"/>
    <n v="5"/>
    <m/>
    <n v="-5"/>
    <x v="4"/>
    <x v="0"/>
    <x v="0"/>
  </r>
  <r>
    <s v="Credit"/>
    <x v="236"/>
    <s v="Ground"/>
    <n v="5"/>
    <m/>
    <n v="-5"/>
    <x v="4"/>
    <x v="0"/>
    <x v="0"/>
  </r>
  <r>
    <s v="Credit"/>
    <x v="236"/>
    <s v="Green's"/>
    <n v="177.9"/>
    <m/>
    <n v="-177.9"/>
    <x v="7"/>
    <x v="2"/>
    <x v="2"/>
  </r>
  <r>
    <s v="Credit"/>
    <x v="237"/>
    <s v="Pizza Pomodoro"/>
    <n v="45.300000000000004"/>
    <m/>
    <n v="-45.300000000000004"/>
    <x v="12"/>
    <x v="0"/>
    <x v="0"/>
  </r>
  <r>
    <s v="Credit"/>
    <x v="238"/>
    <s v="Golden Arches"/>
    <n v="20.099999999999998"/>
    <m/>
    <n v="-20.099999999999998"/>
    <x v="12"/>
    <x v="0"/>
    <x v="0"/>
  </r>
  <r>
    <s v="Checking"/>
    <x v="239"/>
    <s v="Worldvision"/>
    <n v="55"/>
    <m/>
    <n v="-55"/>
    <x v="18"/>
    <x v="0"/>
    <x v="0"/>
  </r>
  <r>
    <s v="Credit"/>
    <x v="239"/>
    <s v="Fuel. Co"/>
    <n v="70.600000000000023"/>
    <m/>
    <n v="-70.600000000000023"/>
    <x v="9"/>
    <x v="0"/>
    <x v="0"/>
  </r>
  <r>
    <s v="Credit"/>
    <x v="239"/>
    <s v="Ground"/>
    <n v="5"/>
    <m/>
    <n v="-5"/>
    <x v="4"/>
    <x v="0"/>
    <x v="0"/>
  </r>
  <r>
    <s v="Credit"/>
    <x v="240"/>
    <s v="Ground"/>
    <n v="5"/>
    <m/>
    <n v="-5"/>
    <x v="4"/>
    <x v="0"/>
    <x v="0"/>
  </r>
  <r>
    <s v="Credit"/>
    <x v="241"/>
    <s v="Ground"/>
    <n v="5"/>
    <m/>
    <n v="-5"/>
    <x v="4"/>
    <x v="0"/>
    <x v="0"/>
  </r>
  <r>
    <s v="Credit"/>
    <x v="242"/>
    <s v="Ground"/>
    <n v="5"/>
    <m/>
    <n v="-5"/>
    <x v="4"/>
    <x v="0"/>
    <x v="0"/>
  </r>
  <r>
    <s v="Credit"/>
    <x v="243"/>
    <s v="Ground"/>
    <n v="5"/>
    <m/>
    <n v="-5"/>
    <x v="4"/>
    <x v="0"/>
    <x v="0"/>
  </r>
  <r>
    <s v="Credit"/>
    <x v="243"/>
    <s v="Green's"/>
    <n v="223"/>
    <m/>
    <n v="-223"/>
    <x v="7"/>
    <x v="2"/>
    <x v="2"/>
  </r>
  <r>
    <s v="Credit"/>
    <x v="244"/>
    <s v="Ted's Trainers"/>
    <n v="132.9"/>
    <m/>
    <n v="-132.9"/>
    <x v="11"/>
    <x v="0"/>
    <x v="0"/>
  </r>
  <r>
    <s v="Credit"/>
    <x v="244"/>
    <s v="Global Fashion"/>
    <n v="175"/>
    <m/>
    <n v="-175"/>
    <x v="11"/>
    <x v="0"/>
    <x v="0"/>
  </r>
  <r>
    <s v="Credit"/>
    <x v="245"/>
    <s v="Fashionistas"/>
    <n v="153.39999999999998"/>
    <m/>
    <n v="-153.39999999999998"/>
    <x v="11"/>
    <x v="0"/>
    <x v="0"/>
  </r>
  <r>
    <s v="Credit"/>
    <x v="245"/>
    <s v="Taxi Co."/>
    <n v="31.200000000000003"/>
    <m/>
    <n v="-31.200000000000003"/>
    <x v="13"/>
    <x v="0"/>
    <x v="0"/>
  </r>
  <r>
    <s v="Credit"/>
    <x v="245"/>
    <s v="Foodary"/>
    <n v="15"/>
    <m/>
    <n v="-15"/>
    <x v="12"/>
    <x v="0"/>
    <x v="0"/>
  </r>
  <r>
    <s v="Checking"/>
    <x v="245"/>
    <s v="Amoogle"/>
    <m/>
    <n v="1600"/>
    <n v="1600"/>
    <x v="20"/>
    <x v="2"/>
    <x v="1"/>
  </r>
  <r>
    <s v="Credit"/>
    <x v="246"/>
    <s v="Ground"/>
    <n v="5"/>
    <m/>
    <n v="-5"/>
    <x v="4"/>
    <x v="0"/>
    <x v="0"/>
  </r>
  <r>
    <s v="Credit"/>
    <x v="247"/>
    <s v="Ground"/>
    <n v="5"/>
    <m/>
    <n v="-5"/>
    <x v="4"/>
    <x v="0"/>
    <x v="0"/>
  </r>
  <r>
    <s v="Checking"/>
    <x v="247"/>
    <s v="ACME Pty Ltd"/>
    <m/>
    <n v="4000"/>
    <n v="4000"/>
    <x v="3"/>
    <x v="1"/>
    <x v="1"/>
  </r>
  <r>
    <s v="Saving"/>
    <x v="247"/>
    <s v="Interest"/>
    <m/>
    <n v="44"/>
    <n v="44"/>
    <x v="0"/>
    <x v="0"/>
    <x v="0"/>
  </r>
  <r>
    <s v="Saving"/>
    <x v="247"/>
    <s v="Side Hustle"/>
    <m/>
    <n v="1979"/>
    <n v="1979"/>
    <x v="2"/>
    <x v="0"/>
    <x v="0"/>
  </r>
  <r>
    <s v="Credit"/>
    <x v="248"/>
    <s v="Ground"/>
    <n v="5"/>
    <m/>
    <n v="-5"/>
    <x v="4"/>
    <x v="0"/>
    <x v="0"/>
  </r>
  <r>
    <s v="Checking"/>
    <x v="249"/>
    <s v="Estate Mgt."/>
    <n v="900"/>
    <m/>
    <n v="-900"/>
    <x v="5"/>
    <x v="0"/>
    <x v="0"/>
  </r>
  <r>
    <s v="Checking"/>
    <x v="249"/>
    <s v="Finance Co."/>
    <n v="150"/>
    <m/>
    <n v="-150"/>
    <x v="6"/>
    <x v="0"/>
    <x v="0"/>
  </r>
  <r>
    <s v="Credit"/>
    <x v="249"/>
    <s v="Ground"/>
    <n v="5"/>
    <m/>
    <n v="-5"/>
    <x v="4"/>
    <x v="0"/>
    <x v="0"/>
  </r>
  <r>
    <s v="Credit"/>
    <x v="249"/>
    <s v="Ground"/>
    <n v="5"/>
    <m/>
    <n v="-5"/>
    <x v="4"/>
    <x v="0"/>
    <x v="0"/>
  </r>
  <r>
    <s v="Credit"/>
    <x v="250"/>
    <s v="Ground"/>
    <n v="5"/>
    <m/>
    <n v="-5"/>
    <x v="4"/>
    <x v="0"/>
    <x v="0"/>
  </r>
  <r>
    <s v="Credit"/>
    <x v="251"/>
    <s v="Ground"/>
    <n v="5"/>
    <m/>
    <n v="-5"/>
    <x v="4"/>
    <x v="0"/>
    <x v="0"/>
  </r>
  <r>
    <s v="Credit"/>
    <x v="251"/>
    <s v="Green's"/>
    <n v="105"/>
    <m/>
    <n v="-105"/>
    <x v="7"/>
    <x v="2"/>
    <x v="2"/>
  </r>
  <r>
    <s v="Checking"/>
    <x v="252"/>
    <s v="Elec. Co."/>
    <n v="59"/>
    <m/>
    <n v="-59"/>
    <x v="8"/>
    <x v="0"/>
    <x v="0"/>
  </r>
  <r>
    <s v="Credit"/>
    <x v="252"/>
    <s v="Ground"/>
    <n v="5"/>
    <m/>
    <n v="-5"/>
    <x v="4"/>
    <x v="0"/>
    <x v="0"/>
  </r>
  <r>
    <s v="Credit"/>
    <x v="253"/>
    <s v="Ground"/>
    <n v="5"/>
    <m/>
    <n v="-5"/>
    <x v="4"/>
    <x v="0"/>
    <x v="0"/>
  </r>
  <r>
    <s v="Credit"/>
    <x v="254"/>
    <s v="Fuel. Co"/>
    <n v="86.399999999999977"/>
    <m/>
    <n v="-86.399999999999977"/>
    <x v="9"/>
    <x v="0"/>
    <x v="0"/>
  </r>
  <r>
    <s v="Credit"/>
    <x v="254"/>
    <s v="Ground"/>
    <n v="5"/>
    <m/>
    <n v="-5"/>
    <x v="4"/>
    <x v="0"/>
    <x v="0"/>
  </r>
  <r>
    <s v="Credit"/>
    <x v="255"/>
    <s v="Ground"/>
    <n v="5"/>
    <m/>
    <n v="-5"/>
    <x v="4"/>
    <x v="0"/>
    <x v="0"/>
  </r>
  <r>
    <s v="Credit"/>
    <x v="256"/>
    <s v="Green's"/>
    <n v="143.9"/>
    <m/>
    <n v="-143.9"/>
    <x v="7"/>
    <x v="2"/>
    <x v="2"/>
  </r>
  <r>
    <s v="Credit"/>
    <x v="256"/>
    <s v="Ground"/>
    <n v="5"/>
    <m/>
    <n v="-5"/>
    <x v="4"/>
    <x v="0"/>
    <x v="0"/>
  </r>
  <r>
    <s v="Credit"/>
    <x v="257"/>
    <s v="Ground"/>
    <n v="5"/>
    <m/>
    <n v="-5"/>
    <x v="4"/>
    <x v="0"/>
    <x v="0"/>
  </r>
  <r>
    <s v="Credit"/>
    <x v="257"/>
    <s v="Event Cinemas"/>
    <n v="48.8"/>
    <m/>
    <n v="-48.8"/>
    <x v="10"/>
    <x v="2"/>
    <x v="2"/>
  </r>
  <r>
    <s v="Credit"/>
    <x v="257"/>
    <s v="Fashionistas"/>
    <n v="106.70000000000002"/>
    <m/>
    <n v="-106.70000000000002"/>
    <x v="11"/>
    <x v="0"/>
    <x v="0"/>
  </r>
  <r>
    <s v="Checking"/>
    <x v="257"/>
    <s v="Transfer to Savings"/>
    <n v="100"/>
    <m/>
    <n v="-100"/>
    <x v="1"/>
    <x v="0"/>
    <x v="0"/>
  </r>
  <r>
    <s v="Credit"/>
    <x v="257"/>
    <s v="Joe's Grill"/>
    <n v="61.1"/>
    <m/>
    <n v="-61.1"/>
    <x v="12"/>
    <x v="0"/>
    <x v="0"/>
  </r>
  <r>
    <s v="Credit"/>
    <x v="258"/>
    <s v="Taxi Co."/>
    <n v="37.200000000000003"/>
    <m/>
    <n v="-37.200000000000003"/>
    <x v="13"/>
    <x v="0"/>
    <x v="0"/>
  </r>
  <r>
    <s v="Checking"/>
    <x v="259"/>
    <s v="Muscle Beach"/>
    <n v="30"/>
    <m/>
    <n v="-30"/>
    <x v="14"/>
    <x v="0"/>
    <x v="0"/>
  </r>
  <r>
    <s v="Credit"/>
    <x v="259"/>
    <s v="Ground"/>
    <n v="5"/>
    <m/>
    <n v="-5"/>
    <x v="4"/>
    <x v="0"/>
    <x v="0"/>
  </r>
  <r>
    <s v="Credit"/>
    <x v="260"/>
    <s v="Ground"/>
    <n v="5"/>
    <m/>
    <n v="-5"/>
    <x v="4"/>
    <x v="0"/>
    <x v="0"/>
  </r>
  <r>
    <s v="Checking"/>
    <x v="260"/>
    <s v="Village Medical"/>
    <n v="75"/>
    <m/>
    <n v="-75"/>
    <x v="19"/>
    <x v="0"/>
    <x v="0"/>
  </r>
  <r>
    <s v="Checking"/>
    <x v="260"/>
    <s v="Phone Co."/>
    <n v="40"/>
    <m/>
    <n v="-40"/>
    <x v="16"/>
    <x v="0"/>
    <x v="0"/>
  </r>
  <r>
    <s v="Credit"/>
    <x v="261"/>
    <s v="Sam's Gifts"/>
    <n v="54.1"/>
    <m/>
    <n v="-54.1"/>
    <x v="17"/>
    <x v="0"/>
    <x v="0"/>
  </r>
  <r>
    <s v="Credit"/>
    <x v="261"/>
    <s v="Streaming Co."/>
    <n v="35"/>
    <m/>
    <n v="-35"/>
    <x v="10"/>
    <x v="2"/>
    <x v="2"/>
  </r>
  <r>
    <s v="Credit"/>
    <x v="261"/>
    <s v="Ground"/>
    <n v="5"/>
    <m/>
    <n v="-5"/>
    <x v="4"/>
    <x v="0"/>
    <x v="0"/>
  </r>
  <r>
    <s v="Credit"/>
    <x v="262"/>
    <s v="Ground"/>
    <n v="5"/>
    <m/>
    <n v="-5"/>
    <x v="4"/>
    <x v="0"/>
    <x v="0"/>
  </r>
  <r>
    <s v="Credit"/>
    <x v="263"/>
    <s v="Ground"/>
    <n v="5"/>
    <m/>
    <n v="-5"/>
    <x v="4"/>
    <x v="0"/>
    <x v="0"/>
  </r>
  <r>
    <s v="Credit"/>
    <x v="263"/>
    <s v="Green's"/>
    <n v="178.9"/>
    <m/>
    <n v="-178.9"/>
    <x v="7"/>
    <x v="2"/>
    <x v="2"/>
  </r>
  <r>
    <s v="Credit"/>
    <x v="264"/>
    <s v="Pizza Pomodoro"/>
    <n v="46.2"/>
    <m/>
    <n v="-46.2"/>
    <x v="12"/>
    <x v="0"/>
    <x v="0"/>
  </r>
  <r>
    <s v="Credit"/>
    <x v="265"/>
    <s v="Golden Arches"/>
    <n v="21.099999999999998"/>
    <m/>
    <n v="-21.099999999999998"/>
    <x v="12"/>
    <x v="0"/>
    <x v="0"/>
  </r>
  <r>
    <s v="Checking"/>
    <x v="266"/>
    <s v="Worldvision"/>
    <n v="55"/>
    <m/>
    <n v="-55"/>
    <x v="18"/>
    <x v="0"/>
    <x v="0"/>
  </r>
  <r>
    <s v="Credit"/>
    <x v="266"/>
    <s v="Fuel. Co"/>
    <n v="71.500000000000028"/>
    <m/>
    <n v="-71.500000000000028"/>
    <x v="9"/>
    <x v="0"/>
    <x v="0"/>
  </r>
  <r>
    <s v="Credit"/>
    <x v="266"/>
    <s v="Ground"/>
    <n v="5"/>
    <m/>
    <n v="-5"/>
    <x v="4"/>
    <x v="0"/>
    <x v="0"/>
  </r>
  <r>
    <s v="Credit"/>
    <x v="267"/>
    <s v="Ground"/>
    <n v="5"/>
    <m/>
    <n v="-5"/>
    <x v="4"/>
    <x v="0"/>
    <x v="0"/>
  </r>
  <r>
    <s v="Credit"/>
    <x v="268"/>
    <s v="Ground"/>
    <n v="5"/>
    <m/>
    <n v="-5"/>
    <x v="4"/>
    <x v="0"/>
    <x v="0"/>
  </r>
  <r>
    <s v="Credit"/>
    <x v="269"/>
    <s v="Ground"/>
    <n v="5"/>
    <m/>
    <n v="-5"/>
    <x v="4"/>
    <x v="0"/>
    <x v="0"/>
  </r>
  <r>
    <s v="Credit"/>
    <x v="270"/>
    <s v="Ground"/>
    <n v="5"/>
    <m/>
    <n v="-5"/>
    <x v="4"/>
    <x v="0"/>
    <x v="0"/>
  </r>
  <r>
    <s v="Credit"/>
    <x v="270"/>
    <s v="Green's"/>
    <n v="189"/>
    <m/>
    <n v="-189"/>
    <x v="7"/>
    <x v="2"/>
    <x v="2"/>
  </r>
  <r>
    <s v="Credit"/>
    <x v="271"/>
    <s v="Ted's Trainers"/>
    <n v="133.80000000000001"/>
    <m/>
    <n v="-133.80000000000001"/>
    <x v="11"/>
    <x v="0"/>
    <x v="0"/>
  </r>
  <r>
    <s v="Credit"/>
    <x v="271"/>
    <s v="Ticketek"/>
    <n v="184.39999999999998"/>
    <m/>
    <n v="-184.39999999999998"/>
    <x v="10"/>
    <x v="2"/>
    <x v="2"/>
  </r>
  <r>
    <s v="Credit"/>
    <x v="272"/>
    <s v="Fashionistas"/>
    <n v="154.49999999999997"/>
    <m/>
    <n v="-154.49999999999997"/>
    <x v="11"/>
    <x v="0"/>
    <x v="0"/>
  </r>
  <r>
    <s v="Credit"/>
    <x v="272"/>
    <s v="Taxi Co."/>
    <n v="32.1"/>
    <m/>
    <n v="-32.1"/>
    <x v="13"/>
    <x v="0"/>
    <x v="0"/>
  </r>
  <r>
    <s v="Credit"/>
    <x v="272"/>
    <s v="Foodary"/>
    <n v="15"/>
    <m/>
    <n v="-15"/>
    <x v="12"/>
    <x v="0"/>
    <x v="0"/>
  </r>
  <r>
    <s v="Credit"/>
    <x v="273"/>
    <s v="Ground"/>
    <n v="5"/>
    <m/>
    <n v="-5"/>
    <x v="4"/>
    <x v="0"/>
    <x v="0"/>
  </r>
  <r>
    <s v="Credit"/>
    <x v="274"/>
    <s v="Ground"/>
    <n v="5"/>
    <m/>
    <n v="-5"/>
    <x v="4"/>
    <x v="0"/>
    <x v="0"/>
  </r>
  <r>
    <s v="Checking"/>
    <x v="274"/>
    <s v="ACME Pty Ltd"/>
    <m/>
    <n v="4000"/>
    <n v="4000"/>
    <x v="3"/>
    <x v="1"/>
    <x v="1"/>
  </r>
  <r>
    <s v="Credit"/>
    <x v="275"/>
    <s v="Ground"/>
    <n v="5"/>
    <m/>
    <n v="-5"/>
    <x v="4"/>
    <x v="0"/>
    <x v="0"/>
  </r>
  <r>
    <s v="Checking"/>
    <x v="276"/>
    <s v="Estate Mgt."/>
    <n v="927"/>
    <m/>
    <n v="-927"/>
    <x v="5"/>
    <x v="0"/>
    <x v="0"/>
  </r>
  <r>
    <s v="Checking"/>
    <x v="276"/>
    <s v="Finance Co."/>
    <n v="150"/>
    <m/>
    <n v="-150"/>
    <x v="6"/>
    <x v="0"/>
    <x v="0"/>
  </r>
  <r>
    <s v="Credit"/>
    <x v="276"/>
    <s v="Ground"/>
    <n v="5"/>
    <m/>
    <n v="-5"/>
    <x v="4"/>
    <x v="0"/>
    <x v="0"/>
  </r>
  <r>
    <s v="Credit"/>
    <x v="276"/>
    <s v="Ground"/>
    <n v="5"/>
    <m/>
    <n v="-5"/>
    <x v="4"/>
    <x v="0"/>
    <x v="0"/>
  </r>
  <r>
    <s v="Credit"/>
    <x v="277"/>
    <s v="Ground"/>
    <n v="5"/>
    <m/>
    <n v="-5"/>
    <x v="4"/>
    <x v="0"/>
    <x v="0"/>
  </r>
  <r>
    <s v="Credit"/>
    <x v="278"/>
    <s v="Ground"/>
    <n v="5"/>
    <m/>
    <n v="-5"/>
    <x v="4"/>
    <x v="0"/>
    <x v="0"/>
  </r>
  <r>
    <s v="Credit"/>
    <x v="278"/>
    <s v="Green's"/>
    <n v="160"/>
    <m/>
    <n v="-160"/>
    <x v="7"/>
    <x v="2"/>
    <x v="2"/>
  </r>
  <r>
    <s v="Checking"/>
    <x v="279"/>
    <s v="Elec. Co."/>
    <n v="49"/>
    <m/>
    <n v="-49"/>
    <x v="8"/>
    <x v="0"/>
    <x v="0"/>
  </r>
  <r>
    <s v="Credit"/>
    <x v="279"/>
    <s v="Ground"/>
    <n v="5"/>
    <m/>
    <n v="-5"/>
    <x v="4"/>
    <x v="0"/>
    <x v="0"/>
  </r>
  <r>
    <s v="Credit"/>
    <x v="280"/>
    <s v="Ground"/>
    <n v="5"/>
    <m/>
    <n v="-5"/>
    <x v="4"/>
    <x v="0"/>
    <x v="0"/>
  </r>
  <r>
    <s v="Credit"/>
    <x v="281"/>
    <s v="Fuel. Co"/>
    <n v="94"/>
    <m/>
    <n v="-94"/>
    <x v="9"/>
    <x v="0"/>
    <x v="0"/>
  </r>
  <r>
    <s v="Credit"/>
    <x v="281"/>
    <s v="Ground"/>
    <n v="5"/>
    <m/>
    <n v="-5"/>
    <x v="4"/>
    <x v="0"/>
    <x v="0"/>
  </r>
  <r>
    <s v="Credit"/>
    <x v="282"/>
    <s v="Ground"/>
    <n v="5"/>
    <m/>
    <n v="-5"/>
    <x v="4"/>
    <x v="0"/>
    <x v="0"/>
  </r>
  <r>
    <s v="Credit"/>
    <x v="283"/>
    <s v="Green's"/>
    <n v="133"/>
    <m/>
    <n v="-133"/>
    <x v="7"/>
    <x v="2"/>
    <x v="2"/>
  </r>
  <r>
    <s v="Credit"/>
    <x v="283"/>
    <s v="Ground"/>
    <n v="5"/>
    <m/>
    <n v="-5"/>
    <x v="4"/>
    <x v="0"/>
    <x v="0"/>
  </r>
  <r>
    <s v="Credit"/>
    <x v="284"/>
    <s v="Ground"/>
    <n v="5"/>
    <m/>
    <n v="-5"/>
    <x v="4"/>
    <x v="0"/>
    <x v="0"/>
  </r>
  <r>
    <s v="Credit"/>
    <x v="284"/>
    <s v="Event Cinemas"/>
    <n v="36"/>
    <m/>
    <n v="-36"/>
    <x v="10"/>
    <x v="2"/>
    <x v="2"/>
  </r>
  <r>
    <s v="Credit"/>
    <x v="284"/>
    <s v="Fashionistas"/>
    <n v="74"/>
    <m/>
    <n v="-74"/>
    <x v="11"/>
    <x v="0"/>
    <x v="0"/>
  </r>
  <r>
    <s v="Credit"/>
    <x v="284"/>
    <s v="Joe's Grill"/>
    <n v="72"/>
    <m/>
    <n v="-72"/>
    <x v="12"/>
    <x v="0"/>
    <x v="0"/>
  </r>
  <r>
    <s v="Credit"/>
    <x v="285"/>
    <s v="Taxi Co."/>
    <n v="28"/>
    <m/>
    <n v="-28"/>
    <x v="13"/>
    <x v="0"/>
    <x v="0"/>
  </r>
  <r>
    <s v="Checking"/>
    <x v="286"/>
    <s v="Muscle Beach"/>
    <n v="30"/>
    <m/>
    <n v="-30"/>
    <x v="14"/>
    <x v="0"/>
    <x v="0"/>
  </r>
  <r>
    <s v="Credit"/>
    <x v="286"/>
    <s v="Ground"/>
    <n v="5"/>
    <m/>
    <n v="-5"/>
    <x v="4"/>
    <x v="0"/>
    <x v="0"/>
  </r>
  <r>
    <s v="Credit"/>
    <x v="287"/>
    <s v="Ground"/>
    <n v="5"/>
    <m/>
    <n v="-5"/>
    <x v="4"/>
    <x v="0"/>
    <x v="0"/>
  </r>
  <r>
    <s v="Checking"/>
    <x v="287"/>
    <s v="Phone Co."/>
    <n v="40"/>
    <m/>
    <n v="-40"/>
    <x v="16"/>
    <x v="0"/>
    <x v="0"/>
  </r>
  <r>
    <s v="Credit"/>
    <x v="288"/>
    <s v="Streaming Co."/>
    <n v="35"/>
    <m/>
    <n v="-35"/>
    <x v="10"/>
    <x v="2"/>
    <x v="2"/>
  </r>
  <r>
    <s v="Credit"/>
    <x v="288"/>
    <s v="Ground"/>
    <n v="5"/>
    <m/>
    <n v="-5"/>
    <x v="4"/>
    <x v="0"/>
    <x v="0"/>
  </r>
  <r>
    <s v="Credit"/>
    <x v="289"/>
    <s v="Ground"/>
    <n v="5"/>
    <m/>
    <n v="-5"/>
    <x v="4"/>
    <x v="0"/>
    <x v="0"/>
  </r>
  <r>
    <s v="Credit"/>
    <x v="290"/>
    <s v="Ground"/>
    <n v="5"/>
    <m/>
    <n v="-5"/>
    <x v="4"/>
    <x v="0"/>
    <x v="0"/>
  </r>
  <r>
    <s v="Credit"/>
    <x v="290"/>
    <s v="Green's"/>
    <n v="214"/>
    <m/>
    <n v="-214"/>
    <x v="7"/>
    <x v="2"/>
    <x v="2"/>
  </r>
  <r>
    <s v="Credit"/>
    <x v="291"/>
    <s v="Pizza Pomodoro"/>
    <n v="59"/>
    <m/>
    <n v="-59"/>
    <x v="12"/>
    <x v="0"/>
    <x v="0"/>
  </r>
  <r>
    <s v="Credit"/>
    <x v="292"/>
    <s v="Golden Arches"/>
    <n v="13"/>
    <m/>
    <n v="-13"/>
    <x v="12"/>
    <x v="0"/>
    <x v="0"/>
  </r>
  <r>
    <s v="Checking"/>
    <x v="293"/>
    <s v="Worldvision"/>
    <n v="55"/>
    <m/>
    <n v="-55"/>
    <x v="18"/>
    <x v="0"/>
    <x v="0"/>
  </r>
  <r>
    <s v="Credit"/>
    <x v="293"/>
    <s v="Fuel. Co"/>
    <n v="69"/>
    <m/>
    <n v="-69"/>
    <x v="9"/>
    <x v="0"/>
    <x v="0"/>
  </r>
  <r>
    <s v="Credit"/>
    <x v="293"/>
    <s v="Ground"/>
    <n v="5"/>
    <m/>
    <n v="-5"/>
    <x v="4"/>
    <x v="0"/>
    <x v="0"/>
  </r>
  <r>
    <s v="Credit"/>
    <x v="294"/>
    <s v="Ground"/>
    <n v="5"/>
    <m/>
    <n v="-5"/>
    <x v="4"/>
    <x v="0"/>
    <x v="0"/>
  </r>
  <r>
    <s v="Credit"/>
    <x v="295"/>
    <s v="Ground"/>
    <n v="5"/>
    <m/>
    <n v="-5"/>
    <x v="4"/>
    <x v="0"/>
    <x v="0"/>
  </r>
  <r>
    <s v="Credit"/>
    <x v="296"/>
    <s v="Ground"/>
    <n v="5"/>
    <m/>
    <n v="-5"/>
    <x v="4"/>
    <x v="0"/>
    <x v="0"/>
  </r>
  <r>
    <s v="Credit"/>
    <x v="297"/>
    <s v="Ground"/>
    <n v="5"/>
    <m/>
    <n v="-5"/>
    <x v="4"/>
    <x v="0"/>
    <x v="0"/>
  </r>
  <r>
    <s v="Credit"/>
    <x v="297"/>
    <s v="Green's"/>
    <n v="210"/>
    <m/>
    <n v="-210"/>
    <x v="7"/>
    <x v="2"/>
    <x v="2"/>
  </r>
  <r>
    <s v="Credit"/>
    <x v="298"/>
    <s v="Fashionistas"/>
    <n v="239"/>
    <m/>
    <n v="-239"/>
    <x v="11"/>
    <x v="0"/>
    <x v="0"/>
  </r>
  <r>
    <s v="Credit"/>
    <x v="298"/>
    <s v="Taxi Co."/>
    <n v="40"/>
    <m/>
    <n v="-40"/>
    <x v="13"/>
    <x v="0"/>
    <x v="0"/>
  </r>
  <r>
    <s v="Credit"/>
    <x v="298"/>
    <s v="Foodary"/>
    <n v="30"/>
    <m/>
    <n v="-30"/>
    <x v="7"/>
    <x v="2"/>
    <x v="2"/>
  </r>
  <r>
    <s v="Saving"/>
    <x v="298"/>
    <s v="Side Hustle"/>
    <m/>
    <n v="1745"/>
    <n v="174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CCA1A-99BD-BE42-9142-889DCD36D9D5}" name="PivotTable2" cacheId="65"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J7:L12"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axis="axisRow" showAll="0" sortType="descending">
      <items count="24">
        <item x="1"/>
        <item x="11"/>
        <item x="4"/>
        <item x="15"/>
        <item x="20"/>
        <item x="19"/>
        <item x="18"/>
        <item x="10"/>
        <item x="21"/>
        <item x="8"/>
        <item x="17"/>
        <item x="7"/>
        <item x="14"/>
        <item x="0"/>
        <item x="6"/>
        <item x="9"/>
        <item x="16"/>
        <item x="5"/>
        <item x="12"/>
        <item x="3"/>
        <item x="2"/>
        <item x="13"/>
        <item m="1" x="22"/>
        <item t="default"/>
      </items>
      <autoSortScope>
        <pivotArea dataOnly="0" outline="0" fieldPosition="0">
          <references count="1">
            <reference field="4294967294" count="1" selected="0">
              <x v="0"/>
            </reference>
          </references>
        </pivotArea>
      </autoSortScope>
    </pivotField>
    <pivotField axis="axisRow" showAll="0">
      <items count="12">
        <item m="1" x="10"/>
        <item m="1" x="6"/>
        <item m="1" x="4"/>
        <item m="1" x="8"/>
        <item x="1"/>
        <item m="1" x="5"/>
        <item m="1" x="9"/>
        <item m="1" x="3"/>
        <item m="1" x="7"/>
        <item x="2"/>
        <item x="0"/>
        <item t="default"/>
      </items>
    </pivotField>
    <pivotField axis="axisPage" showAll="0">
      <items count="5">
        <item x="2"/>
        <item x="1"/>
        <item m="1" x="3"/>
        <item x="0"/>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2">
    <field x="7"/>
    <field x="6"/>
  </rowFields>
  <rowItems count="5">
    <i>
      <x v="4"/>
    </i>
    <i r="1">
      <x v="19"/>
    </i>
    <i>
      <x v="9"/>
    </i>
    <i r="1">
      <x v="4"/>
    </i>
    <i t="grand">
      <x/>
    </i>
  </rowItems>
  <colFields count="1">
    <field x="-2"/>
  </colFields>
  <colItems count="2">
    <i>
      <x/>
    </i>
    <i i="1">
      <x v="1"/>
    </i>
  </colItems>
  <pageFields count="1">
    <pageField fld="8" item="1" hier="-1"/>
  </pageFields>
  <dataFields count="2">
    <dataField name="Income" fld="5" baseField="0" baseItem="0" numFmtId="4"/>
    <dataField name="Sum of Income/(Expense)2" fld="5" baseField="0" baseItem="0" numFmtId="164"/>
  </dataFields>
  <formats count="3">
    <format dxfId="3">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 dxfId="5">
      <pivotArea dataOnly="0" labelOnly="1" outline="0" fieldPosition="0">
        <references count="1">
          <reference field="4294967294" count="2">
            <x v="0"/>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6B37CF3-6269-A346-94F0-866AEF172044}" sourceName="Months (Date)">
  <data>
    <tabular pivotCacheId="1055962670">
      <items count="14">
        <i x="1" s="1"/>
        <i x="2" s="1"/>
        <i x="3" s="1"/>
        <i x="4" s="1"/>
        <i x="5" s="1"/>
        <i x="6" s="1"/>
        <i x="7" s="1"/>
        <i x="8" s="1"/>
        <i x="9" s="1"/>
        <i x="10" s="1"/>
        <i x="11" s="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A8704E4-3249-1346-814E-CB14F77B5F24}" sourceName="Years (Date)">
  <data>
    <tabular pivotCacheId="1055962670">
      <items count="3">
        <i x="1" s="1"/>
        <i x="0" s="1" nd="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BA7E1B05-1E7C-6146-A892-4BC0AA17675F}" cache="Slicer_Months__Date" caption="Month" columnCount="2" rowHeight="257175"/>
  <slicer name="Years (Date)" xr10:uid="{47D6878D-54E6-5748-A58E-DBCB9DE26736}" cache="Slicer_Years__Date"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D0797-EF57-6D4A-83E4-BBED01C86A46}" name="categories" displayName="categories" ref="A1:C27" totalsRowShown="0" headerRowBorderDxfId="6">
  <autoFilter ref="A1:C27" xr:uid="{0BED0797-EF57-6D4A-83E4-BBED01C86A46}"/>
  <tableColumns count="3">
    <tableColumn id="1" xr3:uid="{610411F9-CA02-0B4C-8AB3-C6169ED72E96}" name="Category"/>
    <tableColumn id="2" xr3:uid="{082FEF24-FF7F-CC43-857F-B760CC777290}" name="Subcategory"/>
    <tableColumn id="3" xr3:uid="{58248644-F18F-564A-9B33-E464AF538E21}" name="Category 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17AE2-F377-604E-B052-79589DDD5F00}">
  <dimension ref="A1:L27"/>
  <sheetViews>
    <sheetView tabSelected="1" workbookViewId="0">
      <selection activeCell="F35" sqref="F35"/>
    </sheetView>
  </sheetViews>
  <sheetFormatPr baseColWidth="10" defaultRowHeight="16" x14ac:dyDescent="0.2"/>
  <sheetData>
    <row r="1" spans="1:12" x14ac:dyDescent="0.2">
      <c r="A1" s="1" t="s">
        <v>0</v>
      </c>
      <c r="B1" s="1" t="s">
        <v>1</v>
      </c>
      <c r="C1" s="1" t="s">
        <v>2</v>
      </c>
    </row>
    <row r="2" spans="1:12" x14ac:dyDescent="0.2">
      <c r="A2" t="s">
        <v>3</v>
      </c>
      <c r="B2" t="s">
        <v>4</v>
      </c>
      <c r="C2" t="s">
        <v>5</v>
      </c>
    </row>
    <row r="3" spans="1:12" x14ac:dyDescent="0.2">
      <c r="A3" t="s">
        <v>3</v>
      </c>
      <c r="B3" t="s">
        <v>6</v>
      </c>
      <c r="C3" t="s">
        <v>5</v>
      </c>
    </row>
    <row r="4" spans="1:12" x14ac:dyDescent="0.2">
      <c r="A4" t="s">
        <v>3</v>
      </c>
      <c r="B4" t="s">
        <v>7</v>
      </c>
      <c r="C4" t="s">
        <v>5</v>
      </c>
    </row>
    <row r="5" spans="1:12" x14ac:dyDescent="0.2">
      <c r="A5" t="s">
        <v>3</v>
      </c>
      <c r="B5" t="s">
        <v>8</v>
      </c>
      <c r="C5" t="s">
        <v>5</v>
      </c>
      <c r="J5" s="8" t="s">
        <v>2</v>
      </c>
      <c r="K5" t="s">
        <v>5</v>
      </c>
    </row>
    <row r="6" spans="1:12" x14ac:dyDescent="0.2">
      <c r="A6" t="s">
        <v>3</v>
      </c>
      <c r="B6" t="s">
        <v>9</v>
      </c>
      <c r="C6" t="s">
        <v>5</v>
      </c>
    </row>
    <row r="7" spans="1:12" x14ac:dyDescent="0.2">
      <c r="A7" t="s">
        <v>3</v>
      </c>
      <c r="B7" t="s">
        <v>10</v>
      </c>
      <c r="C7" t="s">
        <v>5</v>
      </c>
      <c r="K7" s="2" t="s">
        <v>5</v>
      </c>
      <c r="L7" s="3" t="s">
        <v>33</v>
      </c>
    </row>
    <row r="8" spans="1:12" x14ac:dyDescent="0.2">
      <c r="A8" t="s">
        <v>11</v>
      </c>
      <c r="B8" t="s">
        <v>12</v>
      </c>
      <c r="C8" t="s">
        <v>5</v>
      </c>
      <c r="J8" s="4" t="s">
        <v>11</v>
      </c>
      <c r="K8" s="5">
        <v>44000</v>
      </c>
      <c r="L8" s="6">
        <v>44000</v>
      </c>
    </row>
    <row r="9" spans="1:12" x14ac:dyDescent="0.2">
      <c r="A9" t="s">
        <v>3</v>
      </c>
      <c r="B9" t="s">
        <v>13</v>
      </c>
      <c r="C9" t="s">
        <v>14</v>
      </c>
      <c r="J9" s="7" t="s">
        <v>12</v>
      </c>
      <c r="K9" s="5">
        <v>44000</v>
      </c>
      <c r="L9" s="6">
        <v>44000</v>
      </c>
    </row>
    <row r="10" spans="1:12" x14ac:dyDescent="0.2">
      <c r="A10" t="s">
        <v>3</v>
      </c>
      <c r="B10" t="s">
        <v>15</v>
      </c>
      <c r="C10" t="s">
        <v>14</v>
      </c>
      <c r="J10" s="4" t="s">
        <v>3</v>
      </c>
      <c r="K10" s="5">
        <v>2950</v>
      </c>
      <c r="L10" s="6">
        <v>2950</v>
      </c>
    </row>
    <row r="11" spans="1:12" x14ac:dyDescent="0.2">
      <c r="A11" t="s">
        <v>3</v>
      </c>
      <c r="B11" t="s">
        <v>16</v>
      </c>
      <c r="C11" t="s">
        <v>14</v>
      </c>
      <c r="J11" s="7" t="s">
        <v>4</v>
      </c>
      <c r="K11" s="5">
        <v>2950</v>
      </c>
      <c r="L11" s="6">
        <v>2950</v>
      </c>
    </row>
    <row r="12" spans="1:12" x14ac:dyDescent="0.2">
      <c r="A12" t="s">
        <v>3</v>
      </c>
      <c r="B12" t="s">
        <v>17</v>
      </c>
      <c r="C12" t="s">
        <v>14</v>
      </c>
      <c r="J12" s="4" t="s">
        <v>34</v>
      </c>
      <c r="K12" s="5">
        <v>46950</v>
      </c>
      <c r="L12" s="6">
        <v>46950</v>
      </c>
    </row>
    <row r="13" spans="1:12" x14ac:dyDescent="0.2">
      <c r="A13" t="s">
        <v>3</v>
      </c>
      <c r="B13" t="s">
        <v>18</v>
      </c>
      <c r="C13" t="s">
        <v>14</v>
      </c>
    </row>
    <row r="14" spans="1:12" x14ac:dyDescent="0.2">
      <c r="A14" t="s">
        <v>3</v>
      </c>
      <c r="B14" t="s">
        <v>19</v>
      </c>
      <c r="C14" t="s">
        <v>14</v>
      </c>
    </row>
    <row r="15" spans="1:12" x14ac:dyDescent="0.2">
      <c r="A15" t="s">
        <v>3</v>
      </c>
      <c r="B15" t="s">
        <v>20</v>
      </c>
      <c r="C15" t="s">
        <v>14</v>
      </c>
    </row>
    <row r="16" spans="1:12" x14ac:dyDescent="0.2">
      <c r="A16" t="s">
        <v>3</v>
      </c>
      <c r="B16" t="s">
        <v>21</v>
      </c>
      <c r="C16" t="s">
        <v>14</v>
      </c>
    </row>
    <row r="17" spans="1:3" x14ac:dyDescent="0.2">
      <c r="A17" t="s">
        <v>3</v>
      </c>
      <c r="B17" t="s">
        <v>22</v>
      </c>
      <c r="C17" t="s">
        <v>14</v>
      </c>
    </row>
    <row r="18" spans="1:3" x14ac:dyDescent="0.2">
      <c r="A18" t="s">
        <v>3</v>
      </c>
      <c r="B18" t="s">
        <v>23</v>
      </c>
      <c r="C18" t="s">
        <v>14</v>
      </c>
    </row>
    <row r="19" spans="1:3" x14ac:dyDescent="0.2">
      <c r="A19" t="s">
        <v>3</v>
      </c>
      <c r="B19" t="s">
        <v>24</v>
      </c>
      <c r="C19" t="s">
        <v>14</v>
      </c>
    </row>
    <row r="20" spans="1:3" x14ac:dyDescent="0.2">
      <c r="A20" t="s">
        <v>3</v>
      </c>
      <c r="B20" t="s">
        <v>25</v>
      </c>
      <c r="C20" t="s">
        <v>14</v>
      </c>
    </row>
    <row r="21" spans="1:3" x14ac:dyDescent="0.2">
      <c r="A21" t="s">
        <v>3</v>
      </c>
      <c r="B21" t="s">
        <v>26</v>
      </c>
      <c r="C21" t="s">
        <v>14</v>
      </c>
    </row>
    <row r="22" spans="1:3" x14ac:dyDescent="0.2">
      <c r="A22" t="s">
        <v>3</v>
      </c>
      <c r="B22" t="s">
        <v>27</v>
      </c>
      <c r="C22" t="s">
        <v>14</v>
      </c>
    </row>
    <row r="23" spans="1:3" x14ac:dyDescent="0.2">
      <c r="A23" t="s">
        <v>3</v>
      </c>
      <c r="B23" t="s">
        <v>28</v>
      </c>
      <c r="C23" t="s">
        <v>14</v>
      </c>
    </row>
    <row r="24" spans="1:3" x14ac:dyDescent="0.2">
      <c r="A24" t="s">
        <v>3</v>
      </c>
      <c r="B24" t="s">
        <v>29</v>
      </c>
      <c r="C24" t="s">
        <v>14</v>
      </c>
    </row>
    <row r="25" spans="1:3" x14ac:dyDescent="0.2">
      <c r="A25" t="s">
        <v>3</v>
      </c>
      <c r="B25" t="s">
        <v>30</v>
      </c>
      <c r="C25" t="s">
        <v>14</v>
      </c>
    </row>
    <row r="26" spans="1:3" x14ac:dyDescent="0.2">
      <c r="A26" t="s">
        <v>3</v>
      </c>
      <c r="B26" t="s">
        <v>31</v>
      </c>
      <c r="C26" t="s">
        <v>14</v>
      </c>
    </row>
    <row r="27" spans="1:3" x14ac:dyDescent="0.2">
      <c r="A27" t="s">
        <v>3</v>
      </c>
      <c r="B27" t="s">
        <v>32</v>
      </c>
      <c r="C27" t="s">
        <v>14</v>
      </c>
    </row>
  </sheetData>
  <conditionalFormatting pivot="1" sqref="L11 L9">
    <cfRule type="dataBar" priority="1">
      <dataBar>
        <cfvo type="min"/>
        <cfvo type="max"/>
        <color theme="4"/>
      </dataBar>
      <extLst>
        <ext xmlns:x14="http://schemas.microsoft.com/office/spreadsheetml/2009/9/main" uri="{B025F937-C7B1-47D3-B67F-A62EFF666E3E}">
          <x14:id>{2FD03916-B2E7-0E4B-8C06-BE5C6FC3DBD2}</x14:id>
        </ext>
      </extLst>
    </cfRule>
  </conditionalFormatting>
  <pageMargins left="0.7" right="0.7" top="0.75" bottom="0.75" header="0.3" footer="0.3"/>
  <pageSetup paperSize="9" orientation="portrait" horizontalDpi="0" verticalDpi="0"/>
  <drawing r:id="rId2"/>
  <tableParts count="1">
    <tablePart r:id="rId3"/>
  </tableParts>
  <extLst>
    <ext xmlns:x14="http://schemas.microsoft.com/office/spreadsheetml/2009/9/main" uri="{78C0D931-6437-407d-A8EE-F0AAD7539E65}">
      <x14:conditionalFormattings>
        <x14:conditionalFormatting xmlns:xm="http://schemas.microsoft.com/office/excel/2006/main" pivot="1">
          <x14:cfRule type="dataBar" id="{2FD03916-B2E7-0E4B-8C06-BE5C6FC3DBD2}">
            <x14:dataBar minLength="0" maxLength="100" gradient="0">
              <x14:cfvo type="autoMin"/>
              <x14:cfvo type="autoMax"/>
              <x14:negativeFillColor rgb="FFFF0000"/>
              <x14:axisColor rgb="FF000000"/>
            </x14:dataBar>
          </x14:cfRule>
          <xm:sqref>L11 L9</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 Collins</dc:creator>
  <cp:lastModifiedBy>Curtis Collins</cp:lastModifiedBy>
  <dcterms:created xsi:type="dcterms:W3CDTF">2026-09-19T02:19:21Z</dcterms:created>
  <dcterms:modified xsi:type="dcterms:W3CDTF">2026-09-19T10:32:04Z</dcterms:modified>
</cp:coreProperties>
</file>